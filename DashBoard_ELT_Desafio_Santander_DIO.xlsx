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ilipeSouza\Documents\Filipe\Cursos\Ciência de Dados com Pythoin - Santander_DIO\Excel\"/>
    </mc:Choice>
  </mc:AlternateContent>
  <xr:revisionPtr revIDLastSave="0" documentId="13_ncr:1_{AA1A9F51-29ED-4F89-B516-AE373C2A91BD}" xr6:coauthVersionLast="47" xr6:coauthVersionMax="47" xr10:uidLastSave="{00000000-0000-0000-0000-000000000000}"/>
  <bookViews>
    <workbookView xWindow="-110" yWindow="-110" windowWidth="19420" windowHeight="115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alesPerson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3" l="1"/>
  <c r="E36" i="3"/>
  <c r="E25" i="3"/>
  <c r="E30" i="3"/>
  <c r="E14" i="3"/>
</calcChain>
</file>

<file path=xl/sharedStrings.xml><?xml version="1.0" encoding="utf-8"?>
<sst xmlns="http://schemas.openxmlformats.org/spreadsheetml/2006/main" count="281" uniqueCount="63">
  <si>
    <t>Paleta de Cores</t>
  </si>
  <si>
    <t>Logos</t>
  </si>
  <si>
    <t># E8E6E9</t>
  </si>
  <si>
    <t>negative zone</t>
  </si>
  <si>
    <t>Menus</t>
  </si>
  <si>
    <t>ícones</t>
  </si>
  <si>
    <t>Tiago Martins</t>
  </si>
  <si>
    <t>Cor da Loja (1)</t>
  </si>
  <si>
    <t>Cor da Loja (2)</t>
  </si>
  <si>
    <t>SalesPerson ID</t>
  </si>
  <si>
    <t>SalesPerson</t>
  </si>
  <si>
    <t>Product</t>
  </si>
  <si>
    <t>ProductPrice</t>
  </si>
  <si>
    <t>SalesDate</t>
  </si>
  <si>
    <t>SalesType</t>
  </si>
  <si>
    <t>ProductCategory</t>
  </si>
  <si>
    <t># BE5014</t>
  </si>
  <si>
    <t># F1A983</t>
  </si>
  <si>
    <t># 262626</t>
  </si>
  <si>
    <t># 0D0D0D</t>
  </si>
  <si>
    <t>Quantity</t>
  </si>
  <si>
    <t>TotalValue</t>
  </si>
  <si>
    <t>Gustavo Alves</t>
  </si>
  <si>
    <t>João Jacomini</t>
  </si>
  <si>
    <t>Fernando Santos</t>
  </si>
  <si>
    <t>Bruno Pinheiro</t>
  </si>
  <si>
    <t>Matheus Fachine</t>
  </si>
  <si>
    <t>Rodrigo Makoto</t>
  </si>
  <si>
    <t>Balcão</t>
  </si>
  <si>
    <t>Ligação</t>
  </si>
  <si>
    <t>WhatsApp</t>
  </si>
  <si>
    <t>E-mail</t>
  </si>
  <si>
    <t>Indicação</t>
  </si>
  <si>
    <t>Cotovelo PVC Tigre</t>
  </si>
  <si>
    <t>Cano PVC 1mt Tigre</t>
  </si>
  <si>
    <t>Torneira Prata Tipo 1</t>
  </si>
  <si>
    <t>Pacote Areia 5kg</t>
  </si>
  <si>
    <t>Tijolo Cerâmica Comum 100 um</t>
  </si>
  <si>
    <t>Disjuntor 10A</t>
  </si>
  <si>
    <t>Disjuntor 20A</t>
  </si>
  <si>
    <t>Tomada Macho</t>
  </si>
  <si>
    <t>Lampâda LED Branca</t>
  </si>
  <si>
    <t>Pacote Parafuso 5cm</t>
  </si>
  <si>
    <t>Pacote Pregos 10cm</t>
  </si>
  <si>
    <t>Pacote Bucha 11cm</t>
  </si>
  <si>
    <t>Desempenadeira</t>
  </si>
  <si>
    <t>Cabo Azul 1,5mm²</t>
  </si>
  <si>
    <t>Canos e PVCs</t>
  </si>
  <si>
    <t>Torneiras</t>
  </si>
  <si>
    <t>Area, Pedra e Cimento</t>
  </si>
  <si>
    <t>Tijolos e Blocos</t>
  </si>
  <si>
    <t>Disjuntores</t>
  </si>
  <si>
    <t>Tomadas e Réguas</t>
  </si>
  <si>
    <t>Lâmpadas e Leds</t>
  </si>
  <si>
    <t>Pregos, Parafusos, Buchas e Porcas</t>
  </si>
  <si>
    <t>Ferramentas Pequenas</t>
  </si>
  <si>
    <t>Cabos e Passadores</t>
  </si>
  <si>
    <t>DASHBOARD DE VENDAS - CASA DA CONSTRUÇÃO</t>
  </si>
  <si>
    <t>Calculation Period: 05/01/2026 - 09/01/2026 | Update Date: 12/01/2026 09:00:00</t>
  </si>
  <si>
    <t>(Tudo)</t>
  </si>
  <si>
    <t>Soma de TotalValue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</si>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</sst>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1A983"/>
      <name val="Segoe UI"/>
      <family val="2"/>
    </font>
    <font>
      <i/>
      <sz val="10"/>
      <color theme="1" tint="0.349986266670735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5" tint="-0.249977111117893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0" xfId="0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4" fontId="0" fillId="0" borderId="0" xfId="2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/>
    </xf>
    <xf numFmtId="2" fontId="3" fillId="4" borderId="0" xfId="0" applyNumberFormat="1" applyFont="1" applyFill="1" applyAlignment="1">
      <alignment horizontal="center" vertical="center" wrapText="1"/>
    </xf>
    <xf numFmtId="2" fontId="0" fillId="0" borderId="0" xfId="2" applyNumberFormat="1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6" fillId="9" borderId="0" xfId="0" applyFont="1" applyFill="1"/>
    <xf numFmtId="0" fontId="5" fillId="0" borderId="2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0"/>
        <name val="Segoe UI"/>
        <family val="2"/>
        <scheme val="none"/>
      </font>
      <fill>
        <patternFill>
          <bgColor theme="5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righ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BE5014"/>
        </patternFill>
      </fill>
    </dxf>
  </dxfs>
  <tableStyles count="3" defaultTableStyle="TableStyleMedium2" defaultPivotStyle="PivotStyleLight16">
    <tableStyle name="SlicerStyleLight2 2" pivot="0" table="0" count="10" xr9:uid="{AA49A96A-498F-4CA4-9352-F14304C8E2A1}">
      <tableStyleElement type="wholeTable" dxfId="5"/>
      <tableStyleElement type="headerRow" dxfId="4"/>
    </tableStyle>
    <tableStyle name="SlicerStyleLight2 3" pivot="0" table="0" count="10" xr9:uid="{A3CACF6D-1B9E-45A0-BF52-3ECDE1422E30}">
      <tableStyleElement type="wholeTable" dxfId="3"/>
      <tableStyleElement type="headerRow" dxfId="2"/>
    </tableStyle>
    <tableStyle name="SlicerStyleLight2 4" pivot="0" table="0" count="10" xr9:uid="{B08E0D02-E6CC-4607-9C48-4D0CDB8C6EB1}">
      <tableStyleElement type="wholeTable" dxfId="1"/>
      <tableStyleElement type="headerRow" dxfId="0"/>
    </tableStyle>
  </tableStyles>
  <colors>
    <mruColors>
      <color rgb="FFBE5014"/>
      <color rgb="FFF1A983"/>
      <color rgb="FF0D0D0D"/>
      <color rgb="FF22C55E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2 3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2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63977778536576"/>
          <c:y val="0.13397472741614497"/>
          <c:w val="0.77636022221463441"/>
          <c:h val="0.848488771288466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E50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C̳álculos!$B$23:$B$30</c:f>
              <c:strCache>
                <c:ptCount val="7"/>
                <c:pt idx="0">
                  <c:v>Bruno Pinheiro</c:v>
                </c:pt>
                <c:pt idx="1">
                  <c:v>Fernando Santos</c:v>
                </c:pt>
                <c:pt idx="2">
                  <c:v>Gustavo Alves</c:v>
                </c:pt>
                <c:pt idx="3">
                  <c:v>João Jacomini</c:v>
                </c:pt>
                <c:pt idx="4">
                  <c:v>Matheus Fachine</c:v>
                </c:pt>
                <c:pt idx="5">
                  <c:v>Rodrigo Makoto</c:v>
                </c:pt>
                <c:pt idx="6">
                  <c:v>Tiago Martins</c:v>
                </c:pt>
              </c:strCache>
            </c:strRef>
          </c:cat>
          <c:val>
            <c:numRef>
              <c:f>C̳álculos!$C$23:$C$30</c:f>
              <c:numCache>
                <c:formatCode>"R$"\ #,##0.00</c:formatCode>
                <c:ptCount val="7"/>
                <c:pt idx="0">
                  <c:v>288</c:v>
                </c:pt>
                <c:pt idx="1">
                  <c:v>6318</c:v>
                </c:pt>
                <c:pt idx="2">
                  <c:v>7358</c:v>
                </c:pt>
                <c:pt idx="3">
                  <c:v>4013</c:v>
                </c:pt>
                <c:pt idx="4">
                  <c:v>2505</c:v>
                </c:pt>
                <c:pt idx="5">
                  <c:v>3017</c:v>
                </c:pt>
                <c:pt idx="6">
                  <c:v>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A-486F-AA3C-770DB3F6D6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2921999"/>
        <c:axId val="1392920559"/>
      </c:barChart>
      <c:catAx>
        <c:axId val="139292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2920559"/>
        <c:crosses val="autoZero"/>
        <c:auto val="1"/>
        <c:lblAlgn val="ctr"/>
        <c:lblOffset val="100"/>
        <c:noMultiLvlLbl val="0"/>
      </c:catAx>
      <c:valAx>
        <c:axId val="139292055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929219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155575</xdr:colOff>
      <xdr:row>12</xdr:row>
      <xdr:rowOff>120650</xdr:rowOff>
    </xdr:from>
    <xdr:to>
      <xdr:col>10</xdr:col>
      <xdr:colOff>393700</xdr:colOff>
      <xdr:row>13</xdr:row>
      <xdr:rowOff>161925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89625" y="2476500"/>
          <a:ext cx="238125" cy="231775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584200</xdr:colOff>
      <xdr:row>11</xdr:row>
      <xdr:rowOff>222250</xdr:rowOff>
    </xdr:from>
    <xdr:to>
      <xdr:col>2</xdr:col>
      <xdr:colOff>425450</xdr:colOff>
      <xdr:row>17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775136-CA38-2DAD-BE82-95D2DF48F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2324100"/>
          <a:ext cx="1060450" cy="106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196850</xdr:colOff>
      <xdr:row>12</xdr:row>
      <xdr:rowOff>69850</xdr:rowOff>
    </xdr:from>
    <xdr:to>
      <xdr:col>10</xdr:col>
      <xdr:colOff>101600</xdr:colOff>
      <xdr:row>16</xdr:row>
      <xdr:rowOff>88900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F3F4600-5DD5-B685-EDEC-7FA1997E8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3650" y="24257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166688</xdr:rowOff>
    </xdr:from>
    <xdr:to>
      <xdr:col>0</xdr:col>
      <xdr:colOff>1063625</xdr:colOff>
      <xdr:row>5</xdr:row>
      <xdr:rowOff>15874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259C0B1A-6E25-7C38-471A-FA364F077823}"/>
            </a:ext>
          </a:extLst>
        </xdr:cNvPr>
        <xdr:cNvGrpSpPr/>
      </xdr:nvGrpSpPr>
      <xdr:grpSpPr>
        <a:xfrm>
          <a:off x="285750" y="166688"/>
          <a:ext cx="777875" cy="924453"/>
          <a:chOff x="261938" y="23813"/>
          <a:chExt cx="777875" cy="857249"/>
        </a:xfrm>
      </xdr:grpSpPr>
      <xdr:sp macro="" textlink="">
        <xdr:nvSpPr>
          <xdr:cNvPr id="4" name="Fluxograma: Conector 3">
            <a:extLst>
              <a:ext uri="{FF2B5EF4-FFF2-40B4-BE49-F238E27FC236}">
                <a16:creationId xmlns:a16="http://schemas.microsoft.com/office/drawing/2014/main" id="{C266D41D-5FE7-7517-7A01-8ABE228CCC2B}"/>
              </a:ext>
            </a:extLst>
          </xdr:cNvPr>
          <xdr:cNvSpPr/>
        </xdr:nvSpPr>
        <xdr:spPr>
          <a:xfrm>
            <a:off x="261938" y="23813"/>
            <a:ext cx="777875" cy="769937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" name="Imagem 2">
            <a:extLst>
              <a:ext uri="{FF2B5EF4-FFF2-40B4-BE49-F238E27FC236}">
                <a16:creationId xmlns:a16="http://schemas.microsoft.com/office/drawing/2014/main" id="{DF0069D7-547F-43C8-A3DE-8BD389BCE0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9876" y="119062"/>
            <a:ext cx="762000" cy="76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58972</xdr:colOff>
      <xdr:row>4</xdr:row>
      <xdr:rowOff>59298</xdr:rowOff>
    </xdr:from>
    <xdr:to>
      <xdr:col>0</xdr:col>
      <xdr:colOff>1303779</xdr:colOff>
      <xdr:row>6</xdr:row>
      <xdr:rowOff>35485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C5735A5-EC6E-CFE8-155A-DA8A6922FBFD}"/>
            </a:ext>
          </a:extLst>
        </xdr:cNvPr>
        <xdr:cNvSpPr/>
      </xdr:nvSpPr>
      <xdr:spPr>
        <a:xfrm>
          <a:off x="58972" y="940827"/>
          <a:ext cx="1244807" cy="2301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 i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900" b="1" i="1" baseline="0">
              <a:latin typeface="Segoe UI" panose="020B0502040204020203" pitchFamily="34" charset="0"/>
              <a:cs typeface="Segoe UI" panose="020B0502040204020203" pitchFamily="34" charset="0"/>
            </a:rPr>
            <a:t> vindo, Miguel</a:t>
          </a:r>
          <a:endParaRPr lang="pt-BR" sz="900" b="1" i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112059</xdr:colOff>
      <xdr:row>0</xdr:row>
      <xdr:rowOff>92480</xdr:rowOff>
    </xdr:from>
    <xdr:to>
      <xdr:col>2</xdr:col>
      <xdr:colOff>574892</xdr:colOff>
      <xdr:row>2</xdr:row>
      <xdr:rowOff>7868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91084E8-4BF3-0882-14F3-5AA02F91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059" y="92480"/>
          <a:ext cx="709361" cy="595212"/>
        </a:xfrm>
        <a:prstGeom prst="rect">
          <a:avLst/>
        </a:prstGeom>
      </xdr:spPr>
    </xdr:pic>
    <xdr:clientData/>
  </xdr:twoCellAnchor>
  <xdr:twoCellAnchor>
    <xdr:from>
      <xdr:col>1</xdr:col>
      <xdr:colOff>172290</xdr:colOff>
      <xdr:row>13</xdr:row>
      <xdr:rowOff>79375</xdr:rowOff>
    </xdr:from>
    <xdr:to>
      <xdr:col>13</xdr:col>
      <xdr:colOff>575734</xdr:colOff>
      <xdr:row>29</xdr:row>
      <xdr:rowOff>55190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2A680-3056-44CF-B3B6-0E9473767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47625</xdr:colOff>
      <xdr:row>6</xdr:row>
      <xdr:rowOff>277812</xdr:rowOff>
    </xdr:from>
    <xdr:to>
      <xdr:col>0</xdr:col>
      <xdr:colOff>1674813</xdr:colOff>
      <xdr:row>19</xdr:row>
      <xdr:rowOff>166688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alesPerson">
              <a:extLst>
                <a:ext uri="{FF2B5EF4-FFF2-40B4-BE49-F238E27FC236}">
                  <a16:creationId xmlns:a16="http://schemas.microsoft.com/office/drawing/2014/main" id="{8280A9F9-1848-437E-AF45-67D0142775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471612"/>
              <a:ext cx="1627188" cy="25474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237066</xdr:colOff>
      <xdr:row>6</xdr:row>
      <xdr:rowOff>42333</xdr:rowOff>
    </xdr:from>
    <xdr:to>
      <xdr:col>7</xdr:col>
      <xdr:colOff>160867</xdr:colOff>
      <xdr:row>12</xdr:row>
      <xdr:rowOff>42332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EDDEF60-E8E2-8760-8F1E-FE223B9FE432}"/>
            </a:ext>
          </a:extLst>
        </xdr:cNvPr>
        <xdr:cNvGrpSpPr/>
      </xdr:nvGrpSpPr>
      <xdr:grpSpPr>
        <a:xfrm>
          <a:off x="2040466" y="1236133"/>
          <a:ext cx="3217334" cy="1354666"/>
          <a:chOff x="2040466" y="1236133"/>
          <a:chExt cx="2565400" cy="1354666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C70206F6-4F27-5697-4FAA-24D70264D43B}"/>
              </a:ext>
            </a:extLst>
          </xdr:cNvPr>
          <xdr:cNvSpPr/>
        </xdr:nvSpPr>
        <xdr:spPr>
          <a:xfrm>
            <a:off x="2040467" y="1236133"/>
            <a:ext cx="2540000" cy="1346200"/>
          </a:xfrm>
          <a:prstGeom prst="roundRect">
            <a:avLst/>
          </a:prstGeom>
          <a:solidFill>
            <a:srgbClr val="BE501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Vendedor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da Semana</a:t>
            </a:r>
            <a:endParaRPr lang="pt-BR" sz="14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D36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3BEA24F-AC91-0F63-BA41-AF8A5B778658}"/>
              </a:ext>
            </a:extLst>
          </xdr:cNvPr>
          <xdr:cNvSpPr/>
        </xdr:nvSpPr>
        <xdr:spPr>
          <a:xfrm>
            <a:off x="2040466" y="1625600"/>
            <a:ext cx="2565400" cy="965199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DD3DBBD-1488-4DEC-BDB7-64679241F7E2}" type="TxLink">
              <a:rPr lang="en-US" sz="24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Gustavo Alves</a:t>
            </a:fld>
            <a:endParaRPr lang="pt-BR" sz="24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448734</xdr:colOff>
      <xdr:row>6</xdr:row>
      <xdr:rowOff>33866</xdr:rowOff>
    </xdr:from>
    <xdr:to>
      <xdr:col>13</xdr:col>
      <xdr:colOff>541868</xdr:colOff>
      <xdr:row>12</xdr:row>
      <xdr:rowOff>33865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4FABCB4-B6A6-B973-D852-97094A6B94B9}"/>
            </a:ext>
          </a:extLst>
        </xdr:cNvPr>
        <xdr:cNvGrpSpPr/>
      </xdr:nvGrpSpPr>
      <xdr:grpSpPr>
        <a:xfrm>
          <a:off x="5545667" y="1227666"/>
          <a:ext cx="3598334" cy="1354666"/>
          <a:chOff x="4800600" y="1210733"/>
          <a:chExt cx="2565400" cy="1354666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659C8A1-3169-45C5-9901-50C198C3E668}"/>
              </a:ext>
            </a:extLst>
          </xdr:cNvPr>
          <xdr:cNvSpPr/>
        </xdr:nvSpPr>
        <xdr:spPr>
          <a:xfrm>
            <a:off x="4800601" y="1210733"/>
            <a:ext cx="2540000" cy="1346200"/>
          </a:xfrm>
          <a:prstGeom prst="roundRect">
            <a:avLst/>
          </a:prstGeom>
          <a:solidFill>
            <a:srgbClr val="BE501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Valor Vendido</a:t>
            </a:r>
          </a:p>
        </xdr:txBody>
      </xdr:sp>
      <xdr:sp macro="" textlink="C̳álculos!E36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8250E9F4-5ED3-4B80-8AB0-E1B14794FB92}"/>
              </a:ext>
            </a:extLst>
          </xdr:cNvPr>
          <xdr:cNvSpPr/>
        </xdr:nvSpPr>
        <xdr:spPr>
          <a:xfrm>
            <a:off x="4800600" y="1600200"/>
            <a:ext cx="2565400" cy="965199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2051757-BC43-4925-9200-ADA2C4B53C57}" type="TxLink">
              <a:rPr lang="en-US" sz="24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R$ 7.358,00</a:t>
            </a:fld>
            <a:endParaRPr lang="pt-BR" sz="24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e Souza" refreshedDate="46041.892093518516" createdVersion="8" refreshedVersion="8" minRefreshableVersion="3" recordCount="55" xr:uid="{A79351D3-9AD4-44BC-A357-5CFCAAA9860A}">
  <cacheSource type="worksheet">
    <worksheetSource name="Tabela1"/>
  </cacheSource>
  <cacheFields count="9">
    <cacheField name="SalesPerson ID" numFmtId="0">
      <sharedItems containsSemiMixedTypes="0" containsString="0" containsNumber="1" containsInteger="1" minValue="4" maxValue="24" count="7">
        <n v="7"/>
        <n v="17"/>
        <n v="4"/>
        <n v="10"/>
        <n v="14"/>
        <n v="22"/>
        <n v="24"/>
      </sharedItems>
    </cacheField>
    <cacheField name="SalesPerson" numFmtId="0">
      <sharedItems count="7">
        <s v="Gustavo Alves"/>
        <s v="João Jacomini"/>
        <s v="Tiago Martins"/>
        <s v="Fernando Santos"/>
        <s v="Bruno Pinheiro"/>
        <s v="Rodrigo Makoto"/>
        <s v="Matheus Fachine"/>
      </sharedItems>
    </cacheField>
    <cacheField name="SalesType" numFmtId="0">
      <sharedItems/>
    </cacheField>
    <cacheField name="SalesDate" numFmtId="14">
      <sharedItems containsSemiMixedTypes="0" containsNonDate="0" containsDate="1" containsString="0" minDate="2026-01-05T00:00:00" maxDate="2026-01-10T00:00:00"/>
    </cacheField>
    <cacheField name="Product" numFmtId="0">
      <sharedItems count="14">
        <s v="Cotovelo PVC Tigre"/>
        <s v="Torneira Prata Tipo 1"/>
        <s v="Pacote Areia 5kg"/>
        <s v="Cano PVC 1mt Tigre"/>
        <s v="Tijolo Cerâmica Comum 100 um"/>
        <s v="Disjuntor 10A"/>
        <s v="Disjuntor 20A"/>
        <s v="Tomada Macho"/>
        <s v="Lampâda LED Branca"/>
        <s v="Pacote Parafuso 5cm"/>
        <s v="Pacote Pregos 10cm"/>
        <s v="Pacote Bucha 11cm"/>
        <s v="Desempenadeira"/>
        <s v="Cabo Azul 1,5mm²"/>
      </sharedItems>
    </cacheField>
    <cacheField name="ProductPrice" numFmtId="164">
      <sharedItems containsSemiMixedTypes="0" containsString="0" containsNumber="1" containsInteger="1" minValue="12" maxValue="180"/>
    </cacheField>
    <cacheField name="ProductCategory" numFmtId="0">
      <sharedItems count="10">
        <s v="Canos e PVCs"/>
        <s v="Torneiras"/>
        <s v="Area, Pedra e Cimento"/>
        <s v="Tijolos e Blocos"/>
        <s v="Disjuntores"/>
        <s v="Tomadas e Réguas"/>
        <s v="Lâmpadas e Leds"/>
        <s v="Pregos, Parafusos, Buchas e Porcas"/>
        <s v="Ferramentas Pequenas"/>
        <s v="Cabos e Passadores"/>
      </sharedItems>
    </cacheField>
    <cacheField name="Quantity" numFmtId="2">
      <sharedItems containsSemiMixedTypes="0" containsString="0" containsNumber="1" containsInteger="1" minValue="1" maxValue="20"/>
    </cacheField>
    <cacheField name="TotalValue" numFmtId="164">
      <sharedItems containsSemiMixedTypes="0" containsString="0" containsNumber="1" containsInteger="1" minValue="28" maxValue="3600"/>
    </cacheField>
  </cacheFields>
  <extLst>
    <ext xmlns:x14="http://schemas.microsoft.com/office/spreadsheetml/2009/9/main" uri="{725AE2AE-9491-48be-B2B4-4EB974FC3084}">
      <x14:pivotCacheDefinition pivotCacheId="14292307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s v="Balcão"/>
    <d v="2026-01-05T00:00:00"/>
    <x v="0"/>
    <n v="25"/>
    <x v="0"/>
    <n v="6"/>
    <n v="150"/>
  </r>
  <r>
    <x v="1"/>
    <x v="1"/>
    <s v="Balcão"/>
    <d v="2026-01-05T00:00:00"/>
    <x v="1"/>
    <n v="66"/>
    <x v="1"/>
    <n v="2"/>
    <n v="132"/>
  </r>
  <r>
    <x v="2"/>
    <x v="2"/>
    <s v="Ligação"/>
    <d v="2026-01-05T00:00:00"/>
    <x v="2"/>
    <n v="75"/>
    <x v="2"/>
    <n v="5"/>
    <n v="375"/>
  </r>
  <r>
    <x v="0"/>
    <x v="0"/>
    <s v="Balcão"/>
    <d v="2026-01-05T00:00:00"/>
    <x v="3"/>
    <n v="38"/>
    <x v="0"/>
    <n v="10"/>
    <n v="380"/>
  </r>
  <r>
    <x v="3"/>
    <x v="3"/>
    <s v="WhatsApp"/>
    <d v="2026-01-05T00:00:00"/>
    <x v="4"/>
    <n v="180"/>
    <x v="3"/>
    <n v="20"/>
    <n v="3600"/>
  </r>
  <r>
    <x v="4"/>
    <x v="4"/>
    <s v="Indicação"/>
    <d v="2026-01-05T00:00:00"/>
    <x v="5"/>
    <n v="20"/>
    <x v="4"/>
    <n v="5"/>
    <n v="100"/>
  </r>
  <r>
    <x v="2"/>
    <x v="2"/>
    <s v="Balcão"/>
    <d v="2026-01-05T00:00:00"/>
    <x v="6"/>
    <n v="23"/>
    <x v="4"/>
    <n v="5"/>
    <n v="115"/>
  </r>
  <r>
    <x v="2"/>
    <x v="2"/>
    <s v="Balcão"/>
    <d v="2026-01-05T00:00:00"/>
    <x v="7"/>
    <n v="14"/>
    <x v="5"/>
    <n v="3"/>
    <n v="42"/>
  </r>
  <r>
    <x v="1"/>
    <x v="1"/>
    <s v="Balcão"/>
    <d v="2026-01-05T00:00:00"/>
    <x v="8"/>
    <n v="35"/>
    <x v="6"/>
    <n v="6"/>
    <n v="210"/>
  </r>
  <r>
    <x v="5"/>
    <x v="5"/>
    <s v="Balcão"/>
    <d v="2026-01-05T00:00:00"/>
    <x v="9"/>
    <n v="15"/>
    <x v="7"/>
    <n v="10"/>
    <n v="150"/>
  </r>
  <r>
    <x v="5"/>
    <x v="5"/>
    <s v="Balcão"/>
    <d v="2026-01-05T00:00:00"/>
    <x v="10"/>
    <n v="12"/>
    <x v="7"/>
    <n v="10"/>
    <n v="120"/>
  </r>
  <r>
    <x v="5"/>
    <x v="5"/>
    <s v="Balcão"/>
    <d v="2026-01-05T00:00:00"/>
    <x v="11"/>
    <n v="14"/>
    <x v="7"/>
    <n v="10"/>
    <n v="140"/>
  </r>
  <r>
    <x v="6"/>
    <x v="6"/>
    <s v="Ligação"/>
    <d v="2026-01-06T00:00:00"/>
    <x v="12"/>
    <n v="32"/>
    <x v="8"/>
    <n v="2"/>
    <n v="64"/>
  </r>
  <r>
    <x v="4"/>
    <x v="4"/>
    <s v="WhatsApp"/>
    <d v="2026-01-06T00:00:00"/>
    <x v="13"/>
    <n v="48"/>
    <x v="9"/>
    <n v="2"/>
    <n v="96"/>
  </r>
  <r>
    <x v="6"/>
    <x v="6"/>
    <s v="WhatsApp"/>
    <d v="2026-01-06T00:00:00"/>
    <x v="0"/>
    <n v="25"/>
    <x v="0"/>
    <n v="4"/>
    <n v="100"/>
  </r>
  <r>
    <x v="0"/>
    <x v="0"/>
    <s v="E-mail"/>
    <d v="2026-01-06T00:00:00"/>
    <x v="0"/>
    <n v="25"/>
    <x v="0"/>
    <n v="8"/>
    <n v="200"/>
  </r>
  <r>
    <x v="0"/>
    <x v="0"/>
    <s v="E-mail"/>
    <d v="2026-01-06T00:00:00"/>
    <x v="1"/>
    <n v="66"/>
    <x v="1"/>
    <n v="1"/>
    <n v="66"/>
  </r>
  <r>
    <x v="5"/>
    <x v="5"/>
    <s v="Balcão"/>
    <d v="2026-01-06T00:00:00"/>
    <x v="2"/>
    <n v="75"/>
    <x v="2"/>
    <n v="4"/>
    <n v="300"/>
  </r>
  <r>
    <x v="3"/>
    <x v="3"/>
    <s v="Balcão"/>
    <d v="2026-01-06T00:00:00"/>
    <x v="4"/>
    <n v="180"/>
    <x v="3"/>
    <n v="12"/>
    <n v="2160"/>
  </r>
  <r>
    <x v="2"/>
    <x v="2"/>
    <s v="E-mail"/>
    <d v="2026-01-06T00:00:00"/>
    <x v="4"/>
    <n v="180"/>
    <x v="3"/>
    <n v="8"/>
    <n v="1440"/>
  </r>
  <r>
    <x v="3"/>
    <x v="3"/>
    <s v="E-mail"/>
    <d v="2026-01-06T00:00:00"/>
    <x v="6"/>
    <n v="23"/>
    <x v="4"/>
    <n v="6"/>
    <n v="138"/>
  </r>
  <r>
    <x v="1"/>
    <x v="1"/>
    <s v="E-mail"/>
    <d v="2026-01-07T00:00:00"/>
    <x v="4"/>
    <n v="180"/>
    <x v="3"/>
    <n v="12"/>
    <n v="2160"/>
  </r>
  <r>
    <x v="1"/>
    <x v="1"/>
    <s v="Ligação"/>
    <d v="2026-01-07T00:00:00"/>
    <x v="2"/>
    <n v="75"/>
    <x v="2"/>
    <n v="5"/>
    <n v="375"/>
  </r>
  <r>
    <x v="5"/>
    <x v="5"/>
    <s v="Balcão"/>
    <d v="2026-01-07T00:00:00"/>
    <x v="9"/>
    <n v="15"/>
    <x v="7"/>
    <n v="6"/>
    <n v="90"/>
  </r>
  <r>
    <x v="6"/>
    <x v="6"/>
    <s v="Balcão"/>
    <d v="2026-01-07T00:00:00"/>
    <x v="10"/>
    <n v="12"/>
    <x v="7"/>
    <n v="6"/>
    <n v="72"/>
  </r>
  <r>
    <x v="4"/>
    <x v="4"/>
    <s v="Ligação"/>
    <d v="2026-01-07T00:00:00"/>
    <x v="6"/>
    <n v="23"/>
    <x v="4"/>
    <n v="4"/>
    <n v="92"/>
  </r>
  <r>
    <x v="0"/>
    <x v="0"/>
    <s v="Ligação"/>
    <d v="2026-01-07T00:00:00"/>
    <x v="4"/>
    <n v="180"/>
    <x v="3"/>
    <n v="14"/>
    <n v="2520"/>
  </r>
  <r>
    <x v="3"/>
    <x v="3"/>
    <s v="Ligação"/>
    <d v="2026-01-07T00:00:00"/>
    <x v="2"/>
    <n v="75"/>
    <x v="2"/>
    <n v="4"/>
    <n v="300"/>
  </r>
  <r>
    <x v="3"/>
    <x v="3"/>
    <s v="WhatsApp"/>
    <d v="2026-01-07T00:00:00"/>
    <x v="6"/>
    <n v="23"/>
    <x v="4"/>
    <n v="4"/>
    <n v="92"/>
  </r>
  <r>
    <x v="0"/>
    <x v="0"/>
    <s v="Ligação"/>
    <d v="2026-01-07T00:00:00"/>
    <x v="4"/>
    <n v="180"/>
    <x v="3"/>
    <n v="10"/>
    <n v="1800"/>
  </r>
  <r>
    <x v="5"/>
    <x v="5"/>
    <s v="WhatsApp"/>
    <d v="2026-01-08T00:00:00"/>
    <x v="4"/>
    <n v="180"/>
    <x v="3"/>
    <n v="10"/>
    <n v="1800"/>
  </r>
  <r>
    <x v="0"/>
    <x v="0"/>
    <s v="WhatsApp"/>
    <d v="2026-01-08T00:00:00"/>
    <x v="3"/>
    <n v="38"/>
    <x v="0"/>
    <n v="6"/>
    <n v="228"/>
  </r>
  <r>
    <x v="1"/>
    <x v="1"/>
    <s v="Indicação"/>
    <d v="2026-01-08T00:00:00"/>
    <x v="2"/>
    <n v="75"/>
    <x v="2"/>
    <n v="4"/>
    <n v="300"/>
  </r>
  <r>
    <x v="1"/>
    <x v="1"/>
    <s v="Indicação"/>
    <d v="2026-01-08T00:00:00"/>
    <x v="6"/>
    <n v="23"/>
    <x v="4"/>
    <n v="4"/>
    <n v="92"/>
  </r>
  <r>
    <x v="2"/>
    <x v="2"/>
    <s v="Balcão"/>
    <d v="2026-01-08T00:00:00"/>
    <x v="4"/>
    <n v="180"/>
    <x v="3"/>
    <n v="8"/>
    <n v="1440"/>
  </r>
  <r>
    <x v="6"/>
    <x v="6"/>
    <s v="Balcão"/>
    <d v="2026-01-08T00:00:00"/>
    <x v="2"/>
    <n v="75"/>
    <x v="2"/>
    <n v="5"/>
    <n v="375"/>
  </r>
  <r>
    <x v="5"/>
    <x v="5"/>
    <s v="Balcão"/>
    <d v="2026-01-08T00:00:00"/>
    <x v="9"/>
    <n v="15"/>
    <x v="7"/>
    <n v="8"/>
    <n v="120"/>
  </r>
  <r>
    <x v="1"/>
    <x v="1"/>
    <s v="WhatsApp"/>
    <d v="2026-01-08T00:00:00"/>
    <x v="3"/>
    <n v="38"/>
    <x v="0"/>
    <n v="8"/>
    <n v="304"/>
  </r>
  <r>
    <x v="0"/>
    <x v="0"/>
    <s v="WhatsApp"/>
    <d v="2026-01-08T00:00:00"/>
    <x v="6"/>
    <n v="23"/>
    <x v="4"/>
    <n v="8"/>
    <n v="184"/>
  </r>
  <r>
    <x v="2"/>
    <x v="2"/>
    <s v="Balcão"/>
    <d v="2026-01-08T00:00:00"/>
    <x v="6"/>
    <n v="23"/>
    <x v="4"/>
    <n v="8"/>
    <n v="184"/>
  </r>
  <r>
    <x v="6"/>
    <x v="6"/>
    <s v="E-mail"/>
    <d v="2026-01-08T00:00:00"/>
    <x v="4"/>
    <n v="180"/>
    <x v="3"/>
    <n v="10"/>
    <n v="1800"/>
  </r>
  <r>
    <x v="3"/>
    <x v="3"/>
    <s v="E-mail"/>
    <d v="2026-01-08T00:00:00"/>
    <x v="11"/>
    <n v="14"/>
    <x v="7"/>
    <n v="2"/>
    <n v="28"/>
  </r>
  <r>
    <x v="6"/>
    <x v="6"/>
    <s v="E-mail"/>
    <d v="2026-01-08T00:00:00"/>
    <x v="6"/>
    <n v="23"/>
    <x v="4"/>
    <n v="2"/>
    <n v="46"/>
  </r>
  <r>
    <x v="0"/>
    <x v="0"/>
    <s v="E-mail"/>
    <d v="2026-01-08T00:00:00"/>
    <x v="9"/>
    <n v="15"/>
    <x v="7"/>
    <n v="6"/>
    <n v="90"/>
  </r>
  <r>
    <x v="5"/>
    <x v="5"/>
    <s v="E-mail"/>
    <d v="2026-01-08T00:00:00"/>
    <x v="10"/>
    <n v="12"/>
    <x v="7"/>
    <n v="6"/>
    <n v="72"/>
  </r>
  <r>
    <x v="5"/>
    <x v="5"/>
    <s v="Ligação"/>
    <d v="2026-01-08T00:00:00"/>
    <x v="2"/>
    <n v="75"/>
    <x v="2"/>
    <n v="3"/>
    <n v="225"/>
  </r>
  <r>
    <x v="2"/>
    <x v="2"/>
    <s v="Ligação"/>
    <d v="2026-01-09T00:00:00"/>
    <x v="2"/>
    <n v="75"/>
    <x v="2"/>
    <n v="6"/>
    <n v="450"/>
  </r>
  <r>
    <x v="2"/>
    <x v="2"/>
    <s v="Ligação"/>
    <d v="2026-01-09T00:00:00"/>
    <x v="10"/>
    <n v="12"/>
    <x v="7"/>
    <n v="10"/>
    <n v="120"/>
  </r>
  <r>
    <x v="2"/>
    <x v="2"/>
    <s v="Balcão"/>
    <d v="2026-01-09T00:00:00"/>
    <x v="11"/>
    <n v="14"/>
    <x v="7"/>
    <n v="10"/>
    <n v="140"/>
  </r>
  <r>
    <x v="2"/>
    <x v="2"/>
    <s v="Balcão"/>
    <d v="2026-01-09T00:00:00"/>
    <x v="1"/>
    <n v="66"/>
    <x v="1"/>
    <n v="1"/>
    <n v="66"/>
  </r>
  <r>
    <x v="1"/>
    <x v="1"/>
    <s v="Balcão"/>
    <d v="2026-01-09T00:00:00"/>
    <x v="3"/>
    <n v="38"/>
    <x v="0"/>
    <n v="10"/>
    <n v="380"/>
  </r>
  <r>
    <x v="6"/>
    <x v="6"/>
    <s v="Balcão"/>
    <d v="2026-01-09T00:00:00"/>
    <x v="10"/>
    <n v="12"/>
    <x v="7"/>
    <n v="4"/>
    <n v="48"/>
  </r>
  <r>
    <x v="1"/>
    <x v="1"/>
    <s v="Balcão"/>
    <d v="2026-01-09T00:00:00"/>
    <x v="9"/>
    <n v="15"/>
    <x v="7"/>
    <n v="4"/>
    <n v="60"/>
  </r>
  <r>
    <x v="0"/>
    <x v="0"/>
    <s v="Balcão"/>
    <d v="2026-01-09T00:00:00"/>
    <x v="4"/>
    <n v="180"/>
    <x v="3"/>
    <n v="8"/>
    <n v="1440"/>
  </r>
  <r>
    <x v="0"/>
    <x v="0"/>
    <s v="Balcão"/>
    <d v="2026-01-09T00:00:00"/>
    <x v="2"/>
    <n v="75"/>
    <x v="2"/>
    <n v="4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9C03A-811F-44AC-95D0-70DB247D7DEB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3:C41" firstHeaderRow="1" firstDataRow="1" firstDataCol="1"/>
  <pivotFields count="9">
    <pivotField showAll="0"/>
    <pivotField axis="axisRow" showAll="0">
      <items count="8">
        <item x="4"/>
        <item x="3"/>
        <item x="0"/>
        <item x="1"/>
        <item x="6"/>
        <item x="5"/>
        <item x="2"/>
        <item t="default"/>
      </items>
    </pivotField>
    <pivotField showAll="0"/>
    <pivotField numFmtId="14" showAll="0"/>
    <pivotField showAll="0"/>
    <pivotField numFmtId="164" showAll="0"/>
    <pivotField showAll="0"/>
    <pivotField numFmtId="2"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Valu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60144-54E2-4065-BF5D-F45E912D7A0D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2:C30" firstHeaderRow="1" firstDataRow="1" firstDataCol="1" rowPageCount="1" colPageCount="1"/>
  <pivotFields count="9">
    <pivotField showAll="0"/>
    <pivotField axis="axisRow" showAll="0">
      <items count="8">
        <item x="4"/>
        <item x="3"/>
        <item x="0"/>
        <item x="1"/>
        <item x="6"/>
        <item x="5"/>
        <item x="2"/>
        <item t="default"/>
      </items>
    </pivotField>
    <pivotField showAll="0"/>
    <pivotField numFmtId="14" showAll="0"/>
    <pivotField axis="axisPage" showAll="0">
      <items count="15">
        <item x="13"/>
        <item x="3"/>
        <item x="0"/>
        <item x="12"/>
        <item x="5"/>
        <item x="6"/>
        <item x="8"/>
        <item x="2"/>
        <item x="11"/>
        <item x="9"/>
        <item x="10"/>
        <item x="4"/>
        <item x="7"/>
        <item x="1"/>
        <item t="default"/>
      </items>
    </pivotField>
    <pivotField numFmtId="164" showAll="0"/>
    <pivotField showAll="0"/>
    <pivotField numFmtId="2"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Soma de TotalValue" fld="8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13D5C-B56A-495D-A38C-765F62E86571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:C14" firstHeaderRow="1" firstDataRow="1" firstDataCol="1" rowPageCount="1" colPageCount="1"/>
  <pivotFields count="9">
    <pivotField axis="axisPage" showAll="0">
      <items count="8">
        <item x="2"/>
        <item x="0"/>
        <item x="3"/>
        <item x="4"/>
        <item x="1"/>
        <item x="5"/>
        <item x="6"/>
        <item t="default"/>
      </items>
    </pivotField>
    <pivotField showAll="0"/>
    <pivotField showAll="0"/>
    <pivotField numFmtId="14" showAll="0"/>
    <pivotField showAll="0"/>
    <pivotField numFmtId="164" showAll="0"/>
    <pivotField axis="axisRow" showAll="0">
      <items count="11">
        <item x="2"/>
        <item x="9"/>
        <item x="0"/>
        <item x="4"/>
        <item x="8"/>
        <item x="6"/>
        <item x="7"/>
        <item x="3"/>
        <item x="5"/>
        <item x="1"/>
        <item t="default"/>
      </items>
    </pivotField>
    <pivotField numFmtId="2" showAll="0"/>
    <pivotField dataField="1" numFmtId="164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hier="-1"/>
  </pageFields>
  <dataFields count="1">
    <dataField name="Soma de TotalValu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alesPerson" xr10:uid="{A096A97D-28A0-4AD5-8D8B-A66689557938}" sourceName="SalesPerson">
  <pivotTables>
    <pivotTable tabId="3" name="Tabela dinâmica2"/>
  </pivotTables>
  <data>
    <tabular pivotCacheId="1429230714">
      <items count="7">
        <i x="4" s="1"/>
        <i x="3" s="1"/>
        <i x="0" s="1"/>
        <i x="1" s="1"/>
        <i x="6" s="1"/>
        <i x="5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" xr10:uid="{2DCD4976-5B0F-4500-B18A-8622238A2384}" cache="SegmentaçãodeDados_SalesPerson" caption="SalesPerson" style="SlicerStyleLight2 4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I56" totalsRowShown="0" headerRowDxfId="16" dataDxfId="15">
  <autoFilter ref="A1:I56" xr:uid="{34E0E886-4200-4B36-97B3-63DB74FF40A0}"/>
  <tableColumns count="9">
    <tableColumn id="1" xr3:uid="{C4A90516-688A-46BF-9167-EA16C2A8A652}" name="SalesPerson ID" dataDxfId="14"/>
    <tableColumn id="2" xr3:uid="{53DD39D0-2220-4121-9E9D-4EAA7E151C0F}" name="SalesPerson" dataDxfId="13"/>
    <tableColumn id="3" xr3:uid="{4F5FF271-4C57-4BE0-8F2C-F82C8551625C}" name="SalesType" dataDxfId="12"/>
    <tableColumn id="4" xr3:uid="{8C17EB93-79B9-4E55-B8F7-BEB82F8253E9}" name="SalesDate" dataDxfId="11"/>
    <tableColumn id="7" xr3:uid="{F2433F68-AF33-49D0-B1FB-19A396074EDE}" name="Product" dataDxfId="10"/>
    <tableColumn id="6" xr3:uid="{78B82374-9AA7-4E38-AE4F-78CDE6C83720}" name="ProductPrice" dataDxfId="9" dataCellStyle="Moeda"/>
    <tableColumn id="8" xr3:uid="{FD4D9C95-F6E5-4933-9068-A71FF7DF9343}" name="ProductCategory" dataDxfId="8"/>
    <tableColumn id="13" xr3:uid="{978DD0D2-834E-4CE4-A39B-30976086932F}" name="Quantity" dataDxfId="7" dataCellStyle="Moeda"/>
    <tableColumn id="9" xr3:uid="{6E29F111-C395-4580-9DAD-3407D9E8B1A4}" name="TotalValue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17"/>
  <sheetViews>
    <sheetView showGridLines="0" zoomScaleNormal="100" workbookViewId="0">
      <selection activeCell="E18" sqref="E18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6" t="s">
        <v>16</v>
      </c>
      <c r="C5" t="s">
        <v>7</v>
      </c>
      <c r="E5" s="2" t="s">
        <v>2</v>
      </c>
      <c r="F5" t="s">
        <v>3</v>
      </c>
    </row>
    <row r="6" spans="2:16" x14ac:dyDescent="0.35">
      <c r="B6" s="7" t="s">
        <v>17</v>
      </c>
      <c r="C6" t="s">
        <v>8</v>
      </c>
    </row>
    <row r="7" spans="2:16" x14ac:dyDescent="0.35">
      <c r="B7" s="8" t="s">
        <v>18</v>
      </c>
      <c r="C7" t="s">
        <v>4</v>
      </c>
    </row>
    <row r="8" spans="2:16" x14ac:dyDescent="0.35">
      <c r="B8" s="9" t="s">
        <v>19</v>
      </c>
      <c r="C8" t="s">
        <v>4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5">
      <c r="B13" s="5"/>
      <c r="C13" s="5"/>
      <c r="D13" s="5"/>
      <c r="E13" s="5"/>
      <c r="F13" s="5"/>
      <c r="G13" s="5"/>
      <c r="H13" s="5"/>
    </row>
    <row r="14" spans="2:16" x14ac:dyDescent="0.35">
      <c r="B14" s="5"/>
      <c r="C14" s="5"/>
      <c r="D14" s="5"/>
      <c r="E14" s="5"/>
      <c r="F14" s="5"/>
      <c r="G14" s="5"/>
      <c r="H14" s="5"/>
    </row>
    <row r="15" spans="2:16" x14ac:dyDescent="0.35">
      <c r="B15" s="5"/>
      <c r="C15" s="5"/>
      <c r="D15" s="5"/>
      <c r="E15" s="5"/>
      <c r="F15" s="5"/>
      <c r="G15" s="5"/>
      <c r="H15" s="5"/>
    </row>
    <row r="16" spans="2:16" x14ac:dyDescent="0.35">
      <c r="B16" s="5"/>
      <c r="C16" s="5"/>
      <c r="D16" s="5"/>
      <c r="E16" s="5"/>
      <c r="F16" s="5"/>
      <c r="G16" s="5"/>
      <c r="H16" s="5"/>
    </row>
    <row r="17" spans="2:8" x14ac:dyDescent="0.35">
      <c r="B17" s="5"/>
      <c r="C17" s="5"/>
      <c r="D17" s="5"/>
      <c r="E17" s="5"/>
      <c r="F17" s="5"/>
      <c r="G17" s="5"/>
      <c r="H17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I56"/>
  <sheetViews>
    <sheetView topLeftCell="A25" zoomScale="70" zoomScaleNormal="70" workbookViewId="0">
      <selection activeCell="D16" sqref="D16"/>
    </sheetView>
  </sheetViews>
  <sheetFormatPr defaultRowHeight="14.5" x14ac:dyDescent="0.35"/>
  <cols>
    <col min="1" max="1" width="19.81640625" bestFit="1" customWidth="1"/>
    <col min="2" max="2" width="17.453125" bestFit="1" customWidth="1"/>
    <col min="3" max="4" width="15.6328125" bestFit="1" customWidth="1"/>
    <col min="5" max="5" width="26.7265625" bestFit="1" customWidth="1"/>
    <col min="6" max="6" width="17.90625" style="14" bestFit="1" customWidth="1"/>
    <col min="7" max="7" width="30.1796875" bestFit="1" customWidth="1"/>
    <col min="8" max="8" width="14.36328125" style="17" bestFit="1" customWidth="1"/>
    <col min="9" max="9" width="15.90625" style="12" bestFit="1" customWidth="1"/>
    <col min="10" max="10" width="10.54296875" bestFit="1" customWidth="1"/>
    <col min="12" max="12" width="14.7265625" bestFit="1" customWidth="1"/>
  </cols>
  <sheetData>
    <row r="1" spans="1:9" x14ac:dyDescent="0.35">
      <c r="A1" s="10" t="s">
        <v>9</v>
      </c>
      <c r="B1" s="10" t="s">
        <v>10</v>
      </c>
      <c r="C1" s="10" t="s">
        <v>14</v>
      </c>
      <c r="D1" s="10" t="s">
        <v>13</v>
      </c>
      <c r="E1" s="10" t="s">
        <v>11</v>
      </c>
      <c r="F1" s="11" t="s">
        <v>12</v>
      </c>
      <c r="G1" s="10" t="s">
        <v>15</v>
      </c>
      <c r="H1" s="15" t="s">
        <v>20</v>
      </c>
      <c r="I1" s="11" t="s">
        <v>21</v>
      </c>
    </row>
    <row r="2" spans="1:9" ht="16.5" customHeight="1" x14ac:dyDescent="0.35">
      <c r="A2" s="3">
        <v>7</v>
      </c>
      <c r="B2" s="3" t="s">
        <v>22</v>
      </c>
      <c r="C2" s="3" t="s">
        <v>28</v>
      </c>
      <c r="D2" s="4">
        <v>46027</v>
      </c>
      <c r="E2" s="3" t="s">
        <v>33</v>
      </c>
      <c r="F2" s="13">
        <v>25</v>
      </c>
      <c r="G2" s="3" t="s">
        <v>47</v>
      </c>
      <c r="H2" s="16">
        <v>6</v>
      </c>
      <c r="I2" s="18">
        <v>150</v>
      </c>
    </row>
    <row r="3" spans="1:9" ht="16.5" customHeight="1" x14ac:dyDescent="0.35">
      <c r="A3" s="3">
        <v>17</v>
      </c>
      <c r="B3" s="3" t="s">
        <v>23</v>
      </c>
      <c r="C3" s="3" t="s">
        <v>28</v>
      </c>
      <c r="D3" s="4">
        <v>46027</v>
      </c>
      <c r="E3" s="3" t="s">
        <v>35</v>
      </c>
      <c r="F3" s="13">
        <v>66</v>
      </c>
      <c r="G3" s="3" t="s">
        <v>48</v>
      </c>
      <c r="H3" s="16">
        <v>2</v>
      </c>
      <c r="I3" s="18">
        <v>132</v>
      </c>
    </row>
    <row r="4" spans="1:9" ht="16.5" customHeight="1" x14ac:dyDescent="0.35">
      <c r="A4" s="3">
        <v>4</v>
      </c>
      <c r="B4" s="3" t="s">
        <v>6</v>
      </c>
      <c r="C4" s="3" t="s">
        <v>29</v>
      </c>
      <c r="D4" s="4">
        <v>46027</v>
      </c>
      <c r="E4" s="3" t="s">
        <v>36</v>
      </c>
      <c r="F4" s="13">
        <v>75</v>
      </c>
      <c r="G4" s="3" t="s">
        <v>49</v>
      </c>
      <c r="H4" s="16">
        <v>5</v>
      </c>
      <c r="I4" s="18">
        <v>375</v>
      </c>
    </row>
    <row r="5" spans="1:9" ht="16.5" customHeight="1" x14ac:dyDescent="0.35">
      <c r="A5" s="3">
        <v>7</v>
      </c>
      <c r="B5" s="3" t="s">
        <v>22</v>
      </c>
      <c r="C5" s="3" t="s">
        <v>28</v>
      </c>
      <c r="D5" s="4">
        <v>46027</v>
      </c>
      <c r="E5" s="3" t="s">
        <v>34</v>
      </c>
      <c r="F5" s="13">
        <v>38</v>
      </c>
      <c r="G5" s="3" t="s">
        <v>47</v>
      </c>
      <c r="H5" s="16">
        <v>10</v>
      </c>
      <c r="I5" s="18">
        <v>380</v>
      </c>
    </row>
    <row r="6" spans="1:9" ht="16.5" customHeight="1" x14ac:dyDescent="0.35">
      <c r="A6" s="3">
        <v>10</v>
      </c>
      <c r="B6" s="3" t="s">
        <v>24</v>
      </c>
      <c r="C6" s="3" t="s">
        <v>30</v>
      </c>
      <c r="D6" s="4">
        <v>46027</v>
      </c>
      <c r="E6" s="3" t="s">
        <v>37</v>
      </c>
      <c r="F6" s="13">
        <v>180</v>
      </c>
      <c r="G6" s="3" t="s">
        <v>50</v>
      </c>
      <c r="H6" s="16">
        <v>20</v>
      </c>
      <c r="I6" s="18">
        <v>3600</v>
      </c>
    </row>
    <row r="7" spans="1:9" ht="16.5" customHeight="1" x14ac:dyDescent="0.35">
      <c r="A7" s="3">
        <v>14</v>
      </c>
      <c r="B7" s="3" t="s">
        <v>25</v>
      </c>
      <c r="C7" s="3" t="s">
        <v>32</v>
      </c>
      <c r="D7" s="4">
        <v>46027</v>
      </c>
      <c r="E7" s="3" t="s">
        <v>38</v>
      </c>
      <c r="F7" s="13">
        <v>20</v>
      </c>
      <c r="G7" s="3" t="s">
        <v>51</v>
      </c>
      <c r="H7" s="16">
        <v>5</v>
      </c>
      <c r="I7" s="18">
        <v>100</v>
      </c>
    </row>
    <row r="8" spans="1:9" ht="16.5" customHeight="1" x14ac:dyDescent="0.35">
      <c r="A8" s="3">
        <v>4</v>
      </c>
      <c r="B8" s="3" t="s">
        <v>6</v>
      </c>
      <c r="C8" s="3" t="s">
        <v>28</v>
      </c>
      <c r="D8" s="4">
        <v>46027</v>
      </c>
      <c r="E8" s="3" t="s">
        <v>39</v>
      </c>
      <c r="F8" s="13">
        <v>23</v>
      </c>
      <c r="G8" s="3" t="s">
        <v>51</v>
      </c>
      <c r="H8" s="16">
        <v>5</v>
      </c>
      <c r="I8" s="18">
        <v>115</v>
      </c>
    </row>
    <row r="9" spans="1:9" ht="16.5" customHeight="1" x14ac:dyDescent="0.35">
      <c r="A9" s="3">
        <v>4</v>
      </c>
      <c r="B9" s="3" t="s">
        <v>6</v>
      </c>
      <c r="C9" s="3" t="s">
        <v>28</v>
      </c>
      <c r="D9" s="4">
        <v>46027</v>
      </c>
      <c r="E9" s="3" t="s">
        <v>40</v>
      </c>
      <c r="F9" s="13">
        <v>14</v>
      </c>
      <c r="G9" s="3" t="s">
        <v>52</v>
      </c>
      <c r="H9" s="16">
        <v>3</v>
      </c>
      <c r="I9" s="18">
        <v>42</v>
      </c>
    </row>
    <row r="10" spans="1:9" ht="16.5" customHeight="1" x14ac:dyDescent="0.35">
      <c r="A10" s="3">
        <v>17</v>
      </c>
      <c r="B10" s="3" t="s">
        <v>23</v>
      </c>
      <c r="C10" s="3" t="s">
        <v>28</v>
      </c>
      <c r="D10" s="4">
        <v>46027</v>
      </c>
      <c r="E10" s="3" t="s">
        <v>41</v>
      </c>
      <c r="F10" s="13">
        <v>35</v>
      </c>
      <c r="G10" s="3" t="s">
        <v>53</v>
      </c>
      <c r="H10" s="16">
        <v>6</v>
      </c>
      <c r="I10" s="18">
        <v>210</v>
      </c>
    </row>
    <row r="11" spans="1:9" ht="16.5" customHeight="1" x14ac:dyDescent="0.35">
      <c r="A11" s="3">
        <v>22</v>
      </c>
      <c r="B11" s="3" t="s">
        <v>27</v>
      </c>
      <c r="C11" s="3" t="s">
        <v>28</v>
      </c>
      <c r="D11" s="4">
        <v>46027</v>
      </c>
      <c r="E11" s="3" t="s">
        <v>42</v>
      </c>
      <c r="F11" s="13">
        <v>15</v>
      </c>
      <c r="G11" s="3" t="s">
        <v>54</v>
      </c>
      <c r="H11" s="16">
        <v>10</v>
      </c>
      <c r="I11" s="18">
        <v>150</v>
      </c>
    </row>
    <row r="12" spans="1:9" ht="16.5" customHeight="1" x14ac:dyDescent="0.35">
      <c r="A12" s="3">
        <v>22</v>
      </c>
      <c r="B12" s="3" t="s">
        <v>27</v>
      </c>
      <c r="C12" s="3" t="s">
        <v>28</v>
      </c>
      <c r="D12" s="4">
        <v>46027</v>
      </c>
      <c r="E12" s="3" t="s">
        <v>43</v>
      </c>
      <c r="F12" s="13">
        <v>12</v>
      </c>
      <c r="G12" s="3" t="s">
        <v>54</v>
      </c>
      <c r="H12" s="16">
        <v>10</v>
      </c>
      <c r="I12" s="18">
        <v>120</v>
      </c>
    </row>
    <row r="13" spans="1:9" ht="16.5" customHeight="1" x14ac:dyDescent="0.35">
      <c r="A13" s="3">
        <v>22</v>
      </c>
      <c r="B13" s="3" t="s">
        <v>27</v>
      </c>
      <c r="C13" s="3" t="s">
        <v>28</v>
      </c>
      <c r="D13" s="4">
        <v>46027</v>
      </c>
      <c r="E13" s="3" t="s">
        <v>44</v>
      </c>
      <c r="F13" s="13">
        <v>14</v>
      </c>
      <c r="G13" s="3" t="s">
        <v>54</v>
      </c>
      <c r="H13" s="16">
        <v>10</v>
      </c>
      <c r="I13" s="18">
        <v>140</v>
      </c>
    </row>
    <row r="14" spans="1:9" ht="16.5" customHeight="1" x14ac:dyDescent="0.35">
      <c r="A14" s="3">
        <v>24</v>
      </c>
      <c r="B14" s="3" t="s">
        <v>26</v>
      </c>
      <c r="C14" s="3" t="s">
        <v>29</v>
      </c>
      <c r="D14" s="4">
        <v>46028</v>
      </c>
      <c r="E14" s="3" t="s">
        <v>45</v>
      </c>
      <c r="F14" s="13">
        <v>32</v>
      </c>
      <c r="G14" s="3" t="s">
        <v>55</v>
      </c>
      <c r="H14" s="16">
        <v>2</v>
      </c>
      <c r="I14" s="18">
        <v>64</v>
      </c>
    </row>
    <row r="15" spans="1:9" ht="16.5" customHeight="1" x14ac:dyDescent="0.35">
      <c r="A15" s="3">
        <v>14</v>
      </c>
      <c r="B15" s="3" t="s">
        <v>25</v>
      </c>
      <c r="C15" s="3" t="s">
        <v>30</v>
      </c>
      <c r="D15" s="4">
        <v>46028</v>
      </c>
      <c r="E15" s="3" t="s">
        <v>46</v>
      </c>
      <c r="F15" s="13">
        <v>48</v>
      </c>
      <c r="G15" s="3" t="s">
        <v>56</v>
      </c>
      <c r="H15" s="16">
        <v>2</v>
      </c>
      <c r="I15" s="18">
        <v>96</v>
      </c>
    </row>
    <row r="16" spans="1:9" ht="16.5" customHeight="1" x14ac:dyDescent="0.35">
      <c r="A16" s="3">
        <v>24</v>
      </c>
      <c r="B16" s="3" t="s">
        <v>26</v>
      </c>
      <c r="C16" s="3" t="s">
        <v>30</v>
      </c>
      <c r="D16" s="4">
        <v>46028</v>
      </c>
      <c r="E16" s="3" t="s">
        <v>33</v>
      </c>
      <c r="F16" s="13">
        <v>25</v>
      </c>
      <c r="G16" s="3" t="s">
        <v>47</v>
      </c>
      <c r="H16" s="16">
        <v>4</v>
      </c>
      <c r="I16" s="18">
        <v>100</v>
      </c>
    </row>
    <row r="17" spans="1:9" ht="16.5" customHeight="1" x14ac:dyDescent="0.35">
      <c r="A17" s="3">
        <v>7</v>
      </c>
      <c r="B17" s="3" t="s">
        <v>22</v>
      </c>
      <c r="C17" s="3" t="s">
        <v>31</v>
      </c>
      <c r="D17" s="4">
        <v>46028</v>
      </c>
      <c r="E17" s="3" t="s">
        <v>33</v>
      </c>
      <c r="F17" s="13">
        <v>25</v>
      </c>
      <c r="G17" s="3" t="s">
        <v>47</v>
      </c>
      <c r="H17" s="16">
        <v>8</v>
      </c>
      <c r="I17" s="18">
        <v>200</v>
      </c>
    </row>
    <row r="18" spans="1:9" ht="16.5" customHeight="1" x14ac:dyDescent="0.35">
      <c r="A18" s="3">
        <v>7</v>
      </c>
      <c r="B18" s="3" t="s">
        <v>22</v>
      </c>
      <c r="C18" s="3" t="s">
        <v>31</v>
      </c>
      <c r="D18" s="4">
        <v>46028</v>
      </c>
      <c r="E18" s="3" t="s">
        <v>35</v>
      </c>
      <c r="F18" s="13">
        <v>66</v>
      </c>
      <c r="G18" s="3" t="s">
        <v>48</v>
      </c>
      <c r="H18" s="16">
        <v>1</v>
      </c>
      <c r="I18" s="18">
        <v>66</v>
      </c>
    </row>
    <row r="19" spans="1:9" ht="16.5" customHeight="1" x14ac:dyDescent="0.35">
      <c r="A19" s="3">
        <v>22</v>
      </c>
      <c r="B19" s="3" t="s">
        <v>27</v>
      </c>
      <c r="C19" s="3" t="s">
        <v>28</v>
      </c>
      <c r="D19" s="4">
        <v>46028</v>
      </c>
      <c r="E19" s="3" t="s">
        <v>36</v>
      </c>
      <c r="F19" s="13">
        <v>75</v>
      </c>
      <c r="G19" s="3" t="s">
        <v>49</v>
      </c>
      <c r="H19" s="16">
        <v>4</v>
      </c>
      <c r="I19" s="18">
        <v>300</v>
      </c>
    </row>
    <row r="20" spans="1:9" ht="16.5" customHeight="1" x14ac:dyDescent="0.35">
      <c r="A20" s="3">
        <v>10</v>
      </c>
      <c r="B20" s="3" t="s">
        <v>24</v>
      </c>
      <c r="C20" s="3" t="s">
        <v>28</v>
      </c>
      <c r="D20" s="4">
        <v>46028</v>
      </c>
      <c r="E20" s="3" t="s">
        <v>37</v>
      </c>
      <c r="F20" s="13">
        <v>180</v>
      </c>
      <c r="G20" s="3" t="s">
        <v>50</v>
      </c>
      <c r="H20" s="16">
        <v>12</v>
      </c>
      <c r="I20" s="18">
        <v>2160</v>
      </c>
    </row>
    <row r="21" spans="1:9" ht="16.5" customHeight="1" x14ac:dyDescent="0.35">
      <c r="A21" s="3">
        <v>4</v>
      </c>
      <c r="B21" s="3" t="s">
        <v>6</v>
      </c>
      <c r="C21" s="3" t="s">
        <v>31</v>
      </c>
      <c r="D21" s="4">
        <v>46028</v>
      </c>
      <c r="E21" s="3" t="s">
        <v>37</v>
      </c>
      <c r="F21" s="13">
        <v>180</v>
      </c>
      <c r="G21" s="3" t="s">
        <v>50</v>
      </c>
      <c r="H21" s="16">
        <v>8</v>
      </c>
      <c r="I21" s="18">
        <v>1440</v>
      </c>
    </row>
    <row r="22" spans="1:9" ht="16.5" customHeight="1" x14ac:dyDescent="0.35">
      <c r="A22" s="3">
        <v>10</v>
      </c>
      <c r="B22" s="3" t="s">
        <v>24</v>
      </c>
      <c r="C22" s="3" t="s">
        <v>31</v>
      </c>
      <c r="D22" s="4">
        <v>46028</v>
      </c>
      <c r="E22" s="3" t="s">
        <v>39</v>
      </c>
      <c r="F22" s="13">
        <v>23</v>
      </c>
      <c r="G22" s="3" t="s">
        <v>51</v>
      </c>
      <c r="H22" s="16">
        <v>6</v>
      </c>
      <c r="I22" s="18">
        <v>138</v>
      </c>
    </row>
    <row r="23" spans="1:9" ht="16.5" customHeight="1" x14ac:dyDescent="0.35">
      <c r="A23" s="3">
        <v>17</v>
      </c>
      <c r="B23" s="3" t="s">
        <v>23</v>
      </c>
      <c r="C23" s="3" t="s">
        <v>31</v>
      </c>
      <c r="D23" s="4">
        <v>46029</v>
      </c>
      <c r="E23" s="3" t="s">
        <v>37</v>
      </c>
      <c r="F23" s="13">
        <v>180</v>
      </c>
      <c r="G23" s="3" t="s">
        <v>50</v>
      </c>
      <c r="H23" s="16">
        <v>12</v>
      </c>
      <c r="I23" s="18">
        <v>2160</v>
      </c>
    </row>
    <row r="24" spans="1:9" ht="16.5" customHeight="1" x14ac:dyDescent="0.35">
      <c r="A24" s="3">
        <v>17</v>
      </c>
      <c r="B24" s="3" t="s">
        <v>23</v>
      </c>
      <c r="C24" s="3" t="s">
        <v>29</v>
      </c>
      <c r="D24" s="4">
        <v>46029</v>
      </c>
      <c r="E24" s="3" t="s">
        <v>36</v>
      </c>
      <c r="F24" s="13">
        <v>75</v>
      </c>
      <c r="G24" s="3" t="s">
        <v>49</v>
      </c>
      <c r="H24" s="16">
        <v>5</v>
      </c>
      <c r="I24" s="18">
        <v>375</v>
      </c>
    </row>
    <row r="25" spans="1:9" ht="16.5" customHeight="1" x14ac:dyDescent="0.35">
      <c r="A25" s="3">
        <v>22</v>
      </c>
      <c r="B25" s="3" t="s">
        <v>27</v>
      </c>
      <c r="C25" s="3" t="s">
        <v>28</v>
      </c>
      <c r="D25" s="4">
        <v>46029</v>
      </c>
      <c r="E25" s="3" t="s">
        <v>42</v>
      </c>
      <c r="F25" s="13">
        <v>15</v>
      </c>
      <c r="G25" s="3" t="s">
        <v>54</v>
      </c>
      <c r="H25" s="16">
        <v>6</v>
      </c>
      <c r="I25" s="18">
        <v>90</v>
      </c>
    </row>
    <row r="26" spans="1:9" ht="16.5" customHeight="1" x14ac:dyDescent="0.35">
      <c r="A26" s="3">
        <v>24</v>
      </c>
      <c r="B26" s="3" t="s">
        <v>26</v>
      </c>
      <c r="C26" s="3" t="s">
        <v>28</v>
      </c>
      <c r="D26" s="4">
        <v>46029</v>
      </c>
      <c r="E26" s="3" t="s">
        <v>43</v>
      </c>
      <c r="F26" s="13">
        <v>12</v>
      </c>
      <c r="G26" s="3" t="s">
        <v>54</v>
      </c>
      <c r="H26" s="16">
        <v>6</v>
      </c>
      <c r="I26" s="18">
        <v>72</v>
      </c>
    </row>
    <row r="27" spans="1:9" ht="16.5" customHeight="1" x14ac:dyDescent="0.35">
      <c r="A27" s="3">
        <v>14</v>
      </c>
      <c r="B27" s="3" t="s">
        <v>25</v>
      </c>
      <c r="C27" s="3" t="s">
        <v>29</v>
      </c>
      <c r="D27" s="4">
        <v>46029</v>
      </c>
      <c r="E27" s="3" t="s">
        <v>39</v>
      </c>
      <c r="F27" s="13">
        <v>23</v>
      </c>
      <c r="G27" s="3" t="s">
        <v>51</v>
      </c>
      <c r="H27" s="16">
        <v>4</v>
      </c>
      <c r="I27" s="18">
        <v>92</v>
      </c>
    </row>
    <row r="28" spans="1:9" ht="16.5" customHeight="1" x14ac:dyDescent="0.35">
      <c r="A28" s="3">
        <v>7</v>
      </c>
      <c r="B28" s="3" t="s">
        <v>22</v>
      </c>
      <c r="C28" s="3" t="s">
        <v>29</v>
      </c>
      <c r="D28" s="4">
        <v>46029</v>
      </c>
      <c r="E28" s="3" t="s">
        <v>37</v>
      </c>
      <c r="F28" s="13">
        <v>180</v>
      </c>
      <c r="G28" s="3" t="s">
        <v>50</v>
      </c>
      <c r="H28" s="16">
        <v>14</v>
      </c>
      <c r="I28" s="18">
        <v>2520</v>
      </c>
    </row>
    <row r="29" spans="1:9" ht="16.5" customHeight="1" x14ac:dyDescent="0.35">
      <c r="A29" s="3">
        <v>10</v>
      </c>
      <c r="B29" s="3" t="s">
        <v>24</v>
      </c>
      <c r="C29" s="3" t="s">
        <v>29</v>
      </c>
      <c r="D29" s="4">
        <v>46029</v>
      </c>
      <c r="E29" s="3" t="s">
        <v>36</v>
      </c>
      <c r="F29" s="13">
        <v>75</v>
      </c>
      <c r="G29" s="3" t="s">
        <v>49</v>
      </c>
      <c r="H29" s="16">
        <v>4</v>
      </c>
      <c r="I29" s="18">
        <v>300</v>
      </c>
    </row>
    <row r="30" spans="1:9" ht="16.5" customHeight="1" x14ac:dyDescent="0.35">
      <c r="A30" s="3">
        <v>10</v>
      </c>
      <c r="B30" s="3" t="s">
        <v>24</v>
      </c>
      <c r="C30" s="3" t="s">
        <v>30</v>
      </c>
      <c r="D30" s="4">
        <v>46029</v>
      </c>
      <c r="E30" s="3" t="s">
        <v>39</v>
      </c>
      <c r="F30" s="13">
        <v>23</v>
      </c>
      <c r="G30" s="3" t="s">
        <v>51</v>
      </c>
      <c r="H30" s="16">
        <v>4</v>
      </c>
      <c r="I30" s="18">
        <v>92</v>
      </c>
    </row>
    <row r="31" spans="1:9" ht="16.5" customHeight="1" x14ac:dyDescent="0.35">
      <c r="A31" s="3">
        <v>7</v>
      </c>
      <c r="B31" s="3" t="s">
        <v>22</v>
      </c>
      <c r="C31" s="3" t="s">
        <v>29</v>
      </c>
      <c r="D31" s="4">
        <v>46029</v>
      </c>
      <c r="E31" s="3" t="s">
        <v>37</v>
      </c>
      <c r="F31" s="13">
        <v>180</v>
      </c>
      <c r="G31" s="3" t="s">
        <v>50</v>
      </c>
      <c r="H31" s="16">
        <v>10</v>
      </c>
      <c r="I31" s="18">
        <v>1800</v>
      </c>
    </row>
    <row r="32" spans="1:9" ht="16.5" customHeight="1" x14ac:dyDescent="0.35">
      <c r="A32" s="3">
        <v>22</v>
      </c>
      <c r="B32" s="3" t="s">
        <v>27</v>
      </c>
      <c r="C32" s="3" t="s">
        <v>30</v>
      </c>
      <c r="D32" s="4">
        <v>46030</v>
      </c>
      <c r="E32" s="3" t="s">
        <v>37</v>
      </c>
      <c r="F32" s="13">
        <v>180</v>
      </c>
      <c r="G32" s="3" t="s">
        <v>50</v>
      </c>
      <c r="H32" s="16">
        <v>10</v>
      </c>
      <c r="I32" s="18">
        <v>1800</v>
      </c>
    </row>
    <row r="33" spans="1:9" ht="16.5" customHeight="1" x14ac:dyDescent="0.35">
      <c r="A33" s="3">
        <v>7</v>
      </c>
      <c r="B33" s="3" t="s">
        <v>22</v>
      </c>
      <c r="C33" s="3" t="s">
        <v>30</v>
      </c>
      <c r="D33" s="4">
        <v>46030</v>
      </c>
      <c r="E33" s="3" t="s">
        <v>34</v>
      </c>
      <c r="F33" s="13">
        <v>38</v>
      </c>
      <c r="G33" s="3" t="s">
        <v>47</v>
      </c>
      <c r="H33" s="16">
        <v>6</v>
      </c>
      <c r="I33" s="18">
        <v>228</v>
      </c>
    </row>
    <row r="34" spans="1:9" ht="16.5" customHeight="1" x14ac:dyDescent="0.35">
      <c r="A34" s="3">
        <v>17</v>
      </c>
      <c r="B34" s="3" t="s">
        <v>23</v>
      </c>
      <c r="C34" s="3" t="s">
        <v>32</v>
      </c>
      <c r="D34" s="4">
        <v>46030</v>
      </c>
      <c r="E34" s="3" t="s">
        <v>36</v>
      </c>
      <c r="F34" s="13">
        <v>75</v>
      </c>
      <c r="G34" s="3" t="s">
        <v>49</v>
      </c>
      <c r="H34" s="16">
        <v>4</v>
      </c>
      <c r="I34" s="18">
        <v>300</v>
      </c>
    </row>
    <row r="35" spans="1:9" ht="16.5" customHeight="1" x14ac:dyDescent="0.35">
      <c r="A35" s="3">
        <v>17</v>
      </c>
      <c r="B35" s="3" t="s">
        <v>23</v>
      </c>
      <c r="C35" s="3" t="s">
        <v>32</v>
      </c>
      <c r="D35" s="4">
        <v>46030</v>
      </c>
      <c r="E35" s="3" t="s">
        <v>39</v>
      </c>
      <c r="F35" s="13">
        <v>23</v>
      </c>
      <c r="G35" s="3" t="s">
        <v>51</v>
      </c>
      <c r="H35" s="16">
        <v>4</v>
      </c>
      <c r="I35" s="18">
        <v>92</v>
      </c>
    </row>
    <row r="36" spans="1:9" ht="16.5" customHeight="1" x14ac:dyDescent="0.35">
      <c r="A36" s="3">
        <v>4</v>
      </c>
      <c r="B36" s="3" t="s">
        <v>6</v>
      </c>
      <c r="C36" s="3" t="s">
        <v>28</v>
      </c>
      <c r="D36" s="4">
        <v>46030</v>
      </c>
      <c r="E36" s="3" t="s">
        <v>37</v>
      </c>
      <c r="F36" s="13">
        <v>180</v>
      </c>
      <c r="G36" s="3" t="s">
        <v>50</v>
      </c>
      <c r="H36" s="16">
        <v>8</v>
      </c>
      <c r="I36" s="18">
        <v>1440</v>
      </c>
    </row>
    <row r="37" spans="1:9" ht="16.5" customHeight="1" x14ac:dyDescent="0.35">
      <c r="A37" s="3">
        <v>24</v>
      </c>
      <c r="B37" s="3" t="s">
        <v>26</v>
      </c>
      <c r="C37" s="3" t="s">
        <v>28</v>
      </c>
      <c r="D37" s="4">
        <v>46030</v>
      </c>
      <c r="E37" s="3" t="s">
        <v>36</v>
      </c>
      <c r="F37" s="13">
        <v>75</v>
      </c>
      <c r="G37" s="3" t="s">
        <v>49</v>
      </c>
      <c r="H37" s="16">
        <v>5</v>
      </c>
      <c r="I37" s="18">
        <v>375</v>
      </c>
    </row>
    <row r="38" spans="1:9" ht="16.5" customHeight="1" x14ac:dyDescent="0.35">
      <c r="A38" s="3">
        <v>22</v>
      </c>
      <c r="B38" s="3" t="s">
        <v>27</v>
      </c>
      <c r="C38" s="3" t="s">
        <v>28</v>
      </c>
      <c r="D38" s="4">
        <v>46030</v>
      </c>
      <c r="E38" s="3" t="s">
        <v>42</v>
      </c>
      <c r="F38" s="13">
        <v>15</v>
      </c>
      <c r="G38" s="3" t="s">
        <v>54</v>
      </c>
      <c r="H38" s="16">
        <v>8</v>
      </c>
      <c r="I38" s="18">
        <v>120</v>
      </c>
    </row>
    <row r="39" spans="1:9" ht="16.5" customHeight="1" x14ac:dyDescent="0.35">
      <c r="A39" s="3">
        <v>17</v>
      </c>
      <c r="B39" s="3" t="s">
        <v>23</v>
      </c>
      <c r="C39" s="3" t="s">
        <v>30</v>
      </c>
      <c r="D39" s="4">
        <v>46030</v>
      </c>
      <c r="E39" s="3" t="s">
        <v>34</v>
      </c>
      <c r="F39" s="13">
        <v>38</v>
      </c>
      <c r="G39" s="3" t="s">
        <v>47</v>
      </c>
      <c r="H39" s="16">
        <v>8</v>
      </c>
      <c r="I39" s="18">
        <v>304</v>
      </c>
    </row>
    <row r="40" spans="1:9" ht="16.5" customHeight="1" x14ac:dyDescent="0.35">
      <c r="A40" s="3">
        <v>7</v>
      </c>
      <c r="B40" s="3" t="s">
        <v>22</v>
      </c>
      <c r="C40" s="3" t="s">
        <v>30</v>
      </c>
      <c r="D40" s="4">
        <v>46030</v>
      </c>
      <c r="E40" s="3" t="s">
        <v>39</v>
      </c>
      <c r="F40" s="13">
        <v>23</v>
      </c>
      <c r="G40" s="3" t="s">
        <v>51</v>
      </c>
      <c r="H40" s="16">
        <v>8</v>
      </c>
      <c r="I40" s="18">
        <v>184</v>
      </c>
    </row>
    <row r="41" spans="1:9" ht="16.5" customHeight="1" x14ac:dyDescent="0.35">
      <c r="A41" s="3">
        <v>4</v>
      </c>
      <c r="B41" s="3" t="s">
        <v>6</v>
      </c>
      <c r="C41" s="3" t="s">
        <v>28</v>
      </c>
      <c r="D41" s="4">
        <v>46030</v>
      </c>
      <c r="E41" s="3" t="s">
        <v>39</v>
      </c>
      <c r="F41" s="13">
        <v>23</v>
      </c>
      <c r="G41" s="3" t="s">
        <v>51</v>
      </c>
      <c r="H41" s="16">
        <v>8</v>
      </c>
      <c r="I41" s="18">
        <v>184</v>
      </c>
    </row>
    <row r="42" spans="1:9" ht="16.5" customHeight="1" x14ac:dyDescent="0.35">
      <c r="A42" s="3">
        <v>24</v>
      </c>
      <c r="B42" s="3" t="s">
        <v>26</v>
      </c>
      <c r="C42" s="3" t="s">
        <v>31</v>
      </c>
      <c r="D42" s="4">
        <v>46030</v>
      </c>
      <c r="E42" s="3" t="s">
        <v>37</v>
      </c>
      <c r="F42" s="13">
        <v>180</v>
      </c>
      <c r="G42" s="3" t="s">
        <v>50</v>
      </c>
      <c r="H42" s="16">
        <v>10</v>
      </c>
      <c r="I42" s="18">
        <v>1800</v>
      </c>
    </row>
    <row r="43" spans="1:9" ht="16.5" customHeight="1" x14ac:dyDescent="0.35">
      <c r="A43" s="3">
        <v>10</v>
      </c>
      <c r="B43" s="3" t="s">
        <v>24</v>
      </c>
      <c r="C43" s="3" t="s">
        <v>31</v>
      </c>
      <c r="D43" s="4">
        <v>46030</v>
      </c>
      <c r="E43" s="3" t="s">
        <v>44</v>
      </c>
      <c r="F43" s="13">
        <v>14</v>
      </c>
      <c r="G43" s="3" t="s">
        <v>54</v>
      </c>
      <c r="H43" s="16">
        <v>2</v>
      </c>
      <c r="I43" s="18">
        <v>28</v>
      </c>
    </row>
    <row r="44" spans="1:9" ht="16.5" customHeight="1" x14ac:dyDescent="0.35">
      <c r="A44" s="3">
        <v>24</v>
      </c>
      <c r="B44" s="3" t="s">
        <v>26</v>
      </c>
      <c r="C44" s="3" t="s">
        <v>31</v>
      </c>
      <c r="D44" s="4">
        <v>46030</v>
      </c>
      <c r="E44" s="3" t="s">
        <v>39</v>
      </c>
      <c r="F44" s="13">
        <v>23</v>
      </c>
      <c r="G44" s="3" t="s">
        <v>51</v>
      </c>
      <c r="H44" s="16">
        <v>2</v>
      </c>
      <c r="I44" s="18">
        <v>46</v>
      </c>
    </row>
    <row r="45" spans="1:9" ht="16.5" customHeight="1" x14ac:dyDescent="0.35">
      <c r="A45" s="3">
        <v>7</v>
      </c>
      <c r="B45" s="3" t="s">
        <v>22</v>
      </c>
      <c r="C45" s="3" t="s">
        <v>31</v>
      </c>
      <c r="D45" s="4">
        <v>46030</v>
      </c>
      <c r="E45" s="3" t="s">
        <v>42</v>
      </c>
      <c r="F45" s="13">
        <v>15</v>
      </c>
      <c r="G45" s="3" t="s">
        <v>54</v>
      </c>
      <c r="H45" s="16">
        <v>6</v>
      </c>
      <c r="I45" s="18">
        <v>90</v>
      </c>
    </row>
    <row r="46" spans="1:9" ht="16.5" customHeight="1" x14ac:dyDescent="0.35">
      <c r="A46" s="3">
        <v>22</v>
      </c>
      <c r="B46" s="3" t="s">
        <v>27</v>
      </c>
      <c r="C46" s="3" t="s">
        <v>31</v>
      </c>
      <c r="D46" s="4">
        <v>46030</v>
      </c>
      <c r="E46" s="3" t="s">
        <v>43</v>
      </c>
      <c r="F46" s="13">
        <v>12</v>
      </c>
      <c r="G46" s="3" t="s">
        <v>54</v>
      </c>
      <c r="H46" s="16">
        <v>6</v>
      </c>
      <c r="I46" s="18">
        <v>72</v>
      </c>
    </row>
    <row r="47" spans="1:9" ht="16.5" customHeight="1" x14ac:dyDescent="0.35">
      <c r="A47" s="3">
        <v>22</v>
      </c>
      <c r="B47" s="3" t="s">
        <v>27</v>
      </c>
      <c r="C47" s="3" t="s">
        <v>29</v>
      </c>
      <c r="D47" s="4">
        <v>46030</v>
      </c>
      <c r="E47" s="3" t="s">
        <v>36</v>
      </c>
      <c r="F47" s="13">
        <v>75</v>
      </c>
      <c r="G47" s="3" t="s">
        <v>49</v>
      </c>
      <c r="H47" s="16">
        <v>3</v>
      </c>
      <c r="I47" s="18">
        <v>225</v>
      </c>
    </row>
    <row r="48" spans="1:9" ht="16.5" customHeight="1" x14ac:dyDescent="0.35">
      <c r="A48" s="3">
        <v>4</v>
      </c>
      <c r="B48" s="3" t="s">
        <v>6</v>
      </c>
      <c r="C48" s="3" t="s">
        <v>29</v>
      </c>
      <c r="D48" s="4">
        <v>46031</v>
      </c>
      <c r="E48" s="3" t="s">
        <v>36</v>
      </c>
      <c r="F48" s="13">
        <v>75</v>
      </c>
      <c r="G48" s="3" t="s">
        <v>49</v>
      </c>
      <c r="H48" s="16">
        <v>6</v>
      </c>
      <c r="I48" s="18">
        <v>450</v>
      </c>
    </row>
    <row r="49" spans="1:9" ht="16.5" customHeight="1" x14ac:dyDescent="0.35">
      <c r="A49" s="3">
        <v>4</v>
      </c>
      <c r="B49" s="3" t="s">
        <v>6</v>
      </c>
      <c r="C49" s="3" t="s">
        <v>29</v>
      </c>
      <c r="D49" s="4">
        <v>46031</v>
      </c>
      <c r="E49" s="3" t="s">
        <v>43</v>
      </c>
      <c r="F49" s="13">
        <v>12</v>
      </c>
      <c r="G49" s="3" t="s">
        <v>54</v>
      </c>
      <c r="H49" s="16">
        <v>10</v>
      </c>
      <c r="I49" s="18">
        <v>120</v>
      </c>
    </row>
    <row r="50" spans="1:9" ht="16.5" customHeight="1" x14ac:dyDescent="0.35">
      <c r="A50" s="3">
        <v>4</v>
      </c>
      <c r="B50" s="3" t="s">
        <v>6</v>
      </c>
      <c r="C50" s="3" t="s">
        <v>28</v>
      </c>
      <c r="D50" s="4">
        <v>46031</v>
      </c>
      <c r="E50" s="3" t="s">
        <v>44</v>
      </c>
      <c r="F50" s="13">
        <v>14</v>
      </c>
      <c r="G50" s="3" t="s">
        <v>54</v>
      </c>
      <c r="H50" s="16">
        <v>10</v>
      </c>
      <c r="I50" s="18">
        <v>140</v>
      </c>
    </row>
    <row r="51" spans="1:9" ht="16.5" customHeight="1" x14ac:dyDescent="0.35">
      <c r="A51" s="3">
        <v>4</v>
      </c>
      <c r="B51" s="3" t="s">
        <v>6</v>
      </c>
      <c r="C51" s="3" t="s">
        <v>28</v>
      </c>
      <c r="D51" s="4">
        <v>46031</v>
      </c>
      <c r="E51" s="3" t="s">
        <v>35</v>
      </c>
      <c r="F51" s="13">
        <v>66</v>
      </c>
      <c r="G51" s="3" t="s">
        <v>48</v>
      </c>
      <c r="H51" s="16">
        <v>1</v>
      </c>
      <c r="I51" s="18">
        <v>66</v>
      </c>
    </row>
    <row r="52" spans="1:9" ht="16.5" customHeight="1" x14ac:dyDescent="0.35">
      <c r="A52" s="3">
        <v>17</v>
      </c>
      <c r="B52" s="3" t="s">
        <v>23</v>
      </c>
      <c r="C52" s="3" t="s">
        <v>28</v>
      </c>
      <c r="D52" s="4">
        <v>46031</v>
      </c>
      <c r="E52" s="3" t="s">
        <v>34</v>
      </c>
      <c r="F52" s="13">
        <v>38</v>
      </c>
      <c r="G52" s="3" t="s">
        <v>47</v>
      </c>
      <c r="H52" s="16">
        <v>10</v>
      </c>
      <c r="I52" s="18">
        <v>380</v>
      </c>
    </row>
    <row r="53" spans="1:9" ht="16.5" customHeight="1" x14ac:dyDescent="0.35">
      <c r="A53" s="3">
        <v>24</v>
      </c>
      <c r="B53" s="3" t="s">
        <v>26</v>
      </c>
      <c r="C53" s="3" t="s">
        <v>28</v>
      </c>
      <c r="D53" s="4">
        <v>46031</v>
      </c>
      <c r="E53" s="3" t="s">
        <v>43</v>
      </c>
      <c r="F53" s="13">
        <v>12</v>
      </c>
      <c r="G53" s="3" t="s">
        <v>54</v>
      </c>
      <c r="H53" s="16">
        <v>4</v>
      </c>
      <c r="I53" s="18">
        <v>48</v>
      </c>
    </row>
    <row r="54" spans="1:9" ht="16.5" customHeight="1" x14ac:dyDescent="0.35">
      <c r="A54" s="3">
        <v>17</v>
      </c>
      <c r="B54" s="3" t="s">
        <v>23</v>
      </c>
      <c r="C54" s="3" t="s">
        <v>28</v>
      </c>
      <c r="D54" s="4">
        <v>46031</v>
      </c>
      <c r="E54" s="3" t="s">
        <v>42</v>
      </c>
      <c r="F54" s="13">
        <v>15</v>
      </c>
      <c r="G54" s="3" t="s">
        <v>54</v>
      </c>
      <c r="H54" s="16">
        <v>4</v>
      </c>
      <c r="I54" s="18">
        <v>60</v>
      </c>
    </row>
    <row r="55" spans="1:9" ht="16.5" customHeight="1" x14ac:dyDescent="0.35">
      <c r="A55" s="3">
        <v>7</v>
      </c>
      <c r="B55" s="3" t="s">
        <v>22</v>
      </c>
      <c r="C55" s="3" t="s">
        <v>28</v>
      </c>
      <c r="D55" s="4">
        <v>46031</v>
      </c>
      <c r="E55" s="3" t="s">
        <v>37</v>
      </c>
      <c r="F55" s="13">
        <v>180</v>
      </c>
      <c r="G55" s="3" t="s">
        <v>50</v>
      </c>
      <c r="H55" s="16">
        <v>8</v>
      </c>
      <c r="I55" s="18">
        <v>1440</v>
      </c>
    </row>
    <row r="56" spans="1:9" ht="16.5" customHeight="1" x14ac:dyDescent="0.35">
      <c r="A56" s="3">
        <v>7</v>
      </c>
      <c r="B56" s="3" t="s">
        <v>22</v>
      </c>
      <c r="C56" s="3" t="s">
        <v>28</v>
      </c>
      <c r="D56" s="4">
        <v>46031</v>
      </c>
      <c r="E56" s="3" t="s">
        <v>36</v>
      </c>
      <c r="F56" s="13">
        <v>75</v>
      </c>
      <c r="G56" s="3" t="s">
        <v>49</v>
      </c>
      <c r="H56" s="16">
        <v>4</v>
      </c>
      <c r="I56" s="18">
        <v>300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41"/>
  <sheetViews>
    <sheetView showGridLines="0" topLeftCell="A12" zoomScale="80" zoomScaleNormal="80" workbookViewId="0">
      <selection activeCell="D37" sqref="D37"/>
    </sheetView>
  </sheetViews>
  <sheetFormatPr defaultRowHeight="14.5" x14ac:dyDescent="0.35"/>
  <cols>
    <col min="2" max="2" width="17.7265625" bestFit="1" customWidth="1"/>
    <col min="3" max="3" width="17.90625" bestFit="1" customWidth="1"/>
    <col min="4" max="4" width="30.54296875" bestFit="1" customWidth="1"/>
    <col min="5" max="5" width="11.8164062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2:5" x14ac:dyDescent="0.35">
      <c r="B1" s="23" t="s">
        <v>9</v>
      </c>
      <c r="C1" t="s">
        <v>59</v>
      </c>
    </row>
    <row r="3" spans="2:5" x14ac:dyDescent="0.35">
      <c r="B3" s="23" t="s">
        <v>61</v>
      </c>
      <c r="C3" t="s">
        <v>60</v>
      </c>
    </row>
    <row r="4" spans="2:5" x14ac:dyDescent="0.35">
      <c r="B4" s="24" t="s">
        <v>49</v>
      </c>
      <c r="C4" s="12">
        <v>3000</v>
      </c>
    </row>
    <row r="5" spans="2:5" x14ac:dyDescent="0.35">
      <c r="B5" s="24" t="s">
        <v>56</v>
      </c>
      <c r="C5" s="12">
        <v>96</v>
      </c>
    </row>
    <row r="6" spans="2:5" x14ac:dyDescent="0.35">
      <c r="B6" s="24" t="s">
        <v>47</v>
      </c>
      <c r="C6" s="12">
        <v>1742</v>
      </c>
    </row>
    <row r="7" spans="2:5" x14ac:dyDescent="0.35">
      <c r="B7" s="24" t="s">
        <v>51</v>
      </c>
      <c r="C7" s="12">
        <v>1043</v>
      </c>
    </row>
    <row r="8" spans="2:5" x14ac:dyDescent="0.35">
      <c r="B8" s="24" t="s">
        <v>55</v>
      </c>
      <c r="C8" s="12">
        <v>64</v>
      </c>
    </row>
    <row r="9" spans="2:5" x14ac:dyDescent="0.35">
      <c r="B9" s="24" t="s">
        <v>53</v>
      </c>
      <c r="C9" s="12">
        <v>210</v>
      </c>
    </row>
    <row r="10" spans="2:5" x14ac:dyDescent="0.35">
      <c r="B10" s="24" t="s">
        <v>54</v>
      </c>
      <c r="C10" s="12">
        <v>1250</v>
      </c>
    </row>
    <row r="11" spans="2:5" x14ac:dyDescent="0.35">
      <c r="B11" s="24" t="s">
        <v>50</v>
      </c>
      <c r="C11" s="12">
        <v>20160</v>
      </c>
    </row>
    <row r="12" spans="2:5" x14ac:dyDescent="0.35">
      <c r="B12" s="24" t="s">
        <v>52</v>
      </c>
      <c r="C12" s="12">
        <v>42</v>
      </c>
    </row>
    <row r="13" spans="2:5" x14ac:dyDescent="0.35">
      <c r="B13" s="24" t="s">
        <v>48</v>
      </c>
      <c r="C13" s="12">
        <v>264</v>
      </c>
    </row>
    <row r="14" spans="2:5" x14ac:dyDescent="0.35">
      <c r="B14" s="24" t="s">
        <v>62</v>
      </c>
      <c r="C14" s="12">
        <v>27871</v>
      </c>
      <c r="E14" s="12">
        <f>GETPIVOTDATA("TotalValue",$B$3)</f>
        <v>27871</v>
      </c>
    </row>
    <row r="20" spans="2:5" x14ac:dyDescent="0.35">
      <c r="B20" s="23" t="s">
        <v>11</v>
      </c>
      <c r="C20" t="s">
        <v>59</v>
      </c>
    </row>
    <row r="22" spans="2:5" x14ac:dyDescent="0.35">
      <c r="B22" s="23" t="s">
        <v>61</v>
      </c>
      <c r="C22" t="s">
        <v>60</v>
      </c>
    </row>
    <row r="23" spans="2:5" x14ac:dyDescent="0.35">
      <c r="B23" s="24" t="s">
        <v>25</v>
      </c>
      <c r="C23" s="12">
        <v>288</v>
      </c>
    </row>
    <row r="24" spans="2:5" x14ac:dyDescent="0.35">
      <c r="B24" s="24" t="s">
        <v>24</v>
      </c>
      <c r="C24" s="12">
        <v>6318</v>
      </c>
    </row>
    <row r="25" spans="2:5" x14ac:dyDescent="0.35">
      <c r="B25" s="24" t="s">
        <v>22</v>
      </c>
      <c r="C25" s="12">
        <v>7358</v>
      </c>
      <c r="E25" s="12">
        <f>GETPIVOTDATA("TotalValue",$B$22,"SalesPerson","Gustavo Alves")</f>
        <v>7358</v>
      </c>
    </row>
    <row r="26" spans="2:5" x14ac:dyDescent="0.35">
      <c r="B26" s="24" t="s">
        <v>23</v>
      </c>
      <c r="C26" s="12">
        <v>4013</v>
      </c>
    </row>
    <row r="27" spans="2:5" x14ac:dyDescent="0.35">
      <c r="B27" s="24" t="s">
        <v>26</v>
      </c>
      <c r="C27" s="12">
        <v>2505</v>
      </c>
    </row>
    <row r="28" spans="2:5" x14ac:dyDescent="0.35">
      <c r="B28" s="24" t="s">
        <v>27</v>
      </c>
      <c r="C28" s="12">
        <v>3017</v>
      </c>
    </row>
    <row r="29" spans="2:5" x14ac:dyDescent="0.35">
      <c r="B29" s="24" t="s">
        <v>6</v>
      </c>
      <c r="C29" s="12">
        <v>4372</v>
      </c>
    </row>
    <row r="30" spans="2:5" x14ac:dyDescent="0.35">
      <c r="B30" s="24" t="s">
        <v>62</v>
      </c>
      <c r="C30" s="12">
        <v>27871</v>
      </c>
      <c r="E30" s="12">
        <f>GETPIVOTDATA("TotalValue",$B$22)</f>
        <v>27871</v>
      </c>
    </row>
    <row r="33" spans="2:5" x14ac:dyDescent="0.35">
      <c r="B33" s="23" t="s">
        <v>61</v>
      </c>
      <c r="C33" t="s">
        <v>60</v>
      </c>
    </row>
    <row r="34" spans="2:5" x14ac:dyDescent="0.35">
      <c r="B34" s="24" t="s">
        <v>25</v>
      </c>
      <c r="C34" s="12">
        <v>288</v>
      </c>
    </row>
    <row r="35" spans="2:5" x14ac:dyDescent="0.35">
      <c r="B35" s="24" t="s">
        <v>24</v>
      </c>
      <c r="C35" s="12">
        <v>6318</v>
      </c>
    </row>
    <row r="36" spans="2:5" x14ac:dyDescent="0.35">
      <c r="B36" s="24" t="s">
        <v>22</v>
      </c>
      <c r="C36" s="12">
        <v>7358</v>
      </c>
      <c r="D36" t="str">
        <f>B36</f>
        <v>Gustavo Alves</v>
      </c>
      <c r="E36" s="12">
        <f>GETPIVOTDATA("TotalValue",$B$33,"SalesPerson","Gustavo Alves")</f>
        <v>7358</v>
      </c>
    </row>
    <row r="37" spans="2:5" x14ac:dyDescent="0.35">
      <c r="B37" s="24" t="s">
        <v>23</v>
      </c>
      <c r="C37" s="12">
        <v>4013</v>
      </c>
    </row>
    <row r="38" spans="2:5" x14ac:dyDescent="0.35">
      <c r="B38" s="24" t="s">
        <v>26</v>
      </c>
      <c r="C38" s="12">
        <v>2505</v>
      </c>
    </row>
    <row r="39" spans="2:5" x14ac:dyDescent="0.35">
      <c r="B39" s="24" t="s">
        <v>27</v>
      </c>
      <c r="C39" s="12">
        <v>3017</v>
      </c>
    </row>
    <row r="40" spans="2:5" x14ac:dyDescent="0.35">
      <c r="B40" s="24" t="s">
        <v>6</v>
      </c>
      <c r="C40" s="12">
        <v>4372</v>
      </c>
    </row>
    <row r="41" spans="2:5" x14ac:dyDescent="0.35">
      <c r="B41" s="24" t="s">
        <v>62</v>
      </c>
      <c r="C41" s="12">
        <v>27871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86"/>
  <sheetViews>
    <sheetView showGridLines="0" tabSelected="1" zoomScale="75" zoomScaleNormal="75" workbookViewId="0">
      <selection activeCell="P11" sqref="P11"/>
    </sheetView>
  </sheetViews>
  <sheetFormatPr defaultRowHeight="14.5" x14ac:dyDescent="0.35"/>
  <cols>
    <col min="1" max="1" width="25.81640625" customWidth="1"/>
    <col min="2" max="2" width="3.54296875" customWidth="1"/>
    <col min="12" max="12" width="6.54296875" customWidth="1"/>
  </cols>
  <sheetData>
    <row r="1" spans="1:33" x14ac:dyDescent="0.35">
      <c r="A1" s="19"/>
    </row>
    <row r="2" spans="1:33" ht="39" customHeight="1" thickBot="1" x14ac:dyDescent="0.75">
      <c r="A2" s="19"/>
      <c r="D2" s="22" t="s">
        <v>57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3" ht="8.25" customHeight="1" thickTop="1" x14ac:dyDescent="0.35">
      <c r="A3" s="19"/>
    </row>
    <row r="4" spans="1:33" ht="12" customHeight="1" x14ac:dyDescent="0.35">
      <c r="A4" s="19"/>
      <c r="B4" s="20"/>
      <c r="C4" s="21" t="s">
        <v>58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ht="10.5" customHeight="1" x14ac:dyDescent="0.3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ht="9.75" customHeight="1" x14ac:dyDescent="0.3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ht="33" customHeight="1" x14ac:dyDescent="0.3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x14ac:dyDescent="0.3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x14ac:dyDescent="0.3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x14ac:dyDescent="0.3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x14ac:dyDescent="0.3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 x14ac:dyDescent="0.3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3" x14ac:dyDescent="0.3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x14ac:dyDescent="0.3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x14ac:dyDescent="0.3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x14ac:dyDescent="0.3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x14ac:dyDescent="0.3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x14ac:dyDescent="0.3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x14ac:dyDescent="0.3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x14ac:dyDescent="0.3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x14ac:dyDescent="0.3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x14ac:dyDescent="0.3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x14ac:dyDescent="0.3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x14ac:dyDescent="0.3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x14ac:dyDescent="0.3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3" x14ac:dyDescent="0.3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x14ac:dyDescent="0.3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x14ac:dyDescent="0.3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x14ac:dyDescent="0.3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x14ac:dyDescent="0.3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x14ac:dyDescent="0.3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x14ac:dyDescent="0.3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x14ac:dyDescent="0.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x14ac:dyDescent="0.3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x14ac:dyDescent="0.35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x14ac:dyDescent="0.35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x14ac:dyDescent="0.35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x14ac:dyDescent="0.3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x14ac:dyDescent="0.3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x14ac:dyDescent="0.3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x14ac:dyDescent="0.3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x14ac:dyDescent="0.3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x14ac:dyDescent="0.3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x14ac:dyDescent="0.3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x14ac:dyDescent="0.35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x14ac:dyDescent="0.35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x14ac:dyDescent="0.3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x14ac:dyDescent="0.35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x14ac:dyDescent="0.35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x14ac:dyDescent="0.3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x14ac:dyDescent="0.3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x14ac:dyDescent="0.3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x14ac:dyDescent="0.3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x14ac:dyDescent="0.3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x14ac:dyDescent="0.3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x14ac:dyDescent="0.35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x14ac:dyDescent="0.35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x14ac:dyDescent="0.35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x14ac:dyDescent="0.35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x14ac:dyDescent="0.3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x14ac:dyDescent="0.35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x14ac:dyDescent="0.35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x14ac:dyDescent="0.35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x14ac:dyDescent="0.3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x14ac:dyDescent="0.3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x14ac:dyDescent="0.35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x14ac:dyDescent="0.35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x14ac:dyDescent="0.35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x14ac:dyDescent="0.35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x14ac:dyDescent="0.35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x14ac:dyDescent="0.35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x14ac:dyDescent="0.35">
      <c r="A78" s="19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x14ac:dyDescent="0.35">
      <c r="A79" s="19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x14ac:dyDescent="0.35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x14ac:dyDescent="0.35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x14ac:dyDescent="0.3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x14ac:dyDescent="0.35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x14ac:dyDescent="0.35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x14ac:dyDescent="0.35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x14ac:dyDescent="0.35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</sheetData>
  <mergeCells count="1">
    <mergeCell ref="D2:N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Filipe Souza</cp:lastModifiedBy>
  <dcterms:created xsi:type="dcterms:W3CDTF">2024-12-19T13:13:10Z</dcterms:created>
  <dcterms:modified xsi:type="dcterms:W3CDTF">2026-01-20T01:11:14Z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